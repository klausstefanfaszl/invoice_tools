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4455" yWindow="1785" windowWidth="27225" windowHeight="13410" tabRatio="600" firstSheet="0" activeTab="0" autoFilterDateGrouping="1"/>
  </bookViews>
  <sheets>
    <sheet xmlns:r="http://schemas.openxmlformats.org/officeDocument/2006/relationships" name="ER" sheetId="1" state="visible" r:id="rId1"/>
    <sheet xmlns:r="http://schemas.openxmlformats.org/officeDocument/2006/relationships" name="Kreditoren" sheetId="2" state="visible" r:id="rId2"/>
    <sheet xmlns:r="http://schemas.openxmlformats.org/officeDocument/2006/relationships" name="Statistik" sheetId="3" state="visible" r:id="rId3"/>
    <sheet xmlns:r="http://schemas.openxmlformats.org/officeDocument/2006/relationships" name="Config_Import" sheetId="4" state="visible" r:id="rId4"/>
  </sheets>
  <definedNames>
    <definedName name="_xlnm.Print_Titles" localSheetId="0">'ER'!$4:$4</definedName>
  </definedNames>
  <calcPr calcId="191029" fullCalcOnLoad="1"/>
  <pivotCaches>
    <pivotCache xmlns:r="http://schemas.openxmlformats.org/officeDocument/2006/relationships" cacheId="7" r:id="rId5"/>
  </pivotCaches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4"/>
      <scheme val="minor"/>
    </font>
    <font>
      <name val="Calibri"/>
      <family val="2"/>
      <color theme="0" tint="-0.499984740745262"/>
      <sz val="14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sz val="9"/>
      <scheme val="minor"/>
    </font>
    <font>
      <name val="Segoe UI"/>
      <family val="2"/>
      <b val="1"/>
      <color indexed="81"/>
      <sz val="9"/>
    </font>
    <font>
      <name val="Calibri"/>
      <family val="2"/>
      <color rgb="FF212121"/>
      <sz val="9"/>
      <scheme val="minor"/>
    </font>
    <font>
      <name val="SegoeUI"/>
      <color rgb="FF000000"/>
      <sz val="8"/>
    </font>
    <font>
      <name val="Titillium-Light"/>
      <color rgb="FF000000"/>
      <sz val="8"/>
    </font>
    <font>
      <name val="FrutigerNextLTW1G-Medium"/>
      <color rgb="FF000000"/>
      <sz val="8"/>
    </font>
    <font>
      <name val="Calibri"/>
      <family val="2"/>
      <color rgb="FF000000"/>
      <sz val="9"/>
      <scheme val="minor"/>
    </font>
    <font>
      <name val="ArialMT"/>
      <color rgb="FF000000"/>
      <sz val="8"/>
    </font>
    <font>
      <name val="Segoe UI"/>
      <family val="2"/>
      <color indexed="8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3" fillId="0" borderId="0" applyAlignment="1" pivotButton="0" quotePrefix="0" xfId="0">
      <alignment horizontal="center"/>
    </xf>
    <xf numFmtId="4" fontId="3" fillId="0" borderId="2" applyAlignment="1" pivotButton="0" quotePrefix="0" xfId="0">
      <alignment horizontal="center" vertical="center"/>
    </xf>
    <xf numFmtId="4" fontId="2" fillId="0" borderId="1" pivotButton="0" quotePrefix="0" xfId="0"/>
    <xf numFmtId="4" fontId="3" fillId="0" borderId="0" pivotButton="0" quotePrefix="0" xfId="0"/>
    <xf numFmtId="0" fontId="4" fillId="0" borderId="0" pivotButton="0" quotePrefix="0" xfId="0"/>
    <xf numFmtId="49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164" fontId="5" fillId="0" borderId="0" pivotButton="0" quotePrefix="0" xfId="0"/>
    <xf numFmtId="164" fontId="6" fillId="0" borderId="0" pivotButton="0" quotePrefix="0" xfId="0"/>
    <xf numFmtId="4" fontId="8" fillId="0" borderId="1" pivotButton="0" quotePrefix="0" xfId="0"/>
    <xf numFmtId="0" fontId="3" fillId="0" borderId="4" applyAlignment="1" pivotButton="0" quotePrefix="0" xfId="0">
      <alignment horizontal="center"/>
    </xf>
    <xf numFmtId="1" fontId="6" fillId="0" borderId="5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2" fillId="0" borderId="3" applyAlignment="1" pivotButton="0" quotePrefix="0" xfId="0">
      <alignment horizontal="center"/>
    </xf>
    <xf numFmtId="14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49" fontId="3" fillId="0" borderId="0" applyProtection="1" pivotButton="0" quotePrefix="0" xfId="0">
      <protection locked="0" hidden="0"/>
    </xf>
    <xf numFmtId="4" fontId="3" fillId="0" borderId="0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1" fontId="7" fillId="0" borderId="0" applyAlignment="1" applyProtection="1" pivotButton="0" quotePrefix="0" xfId="0">
      <alignment horizontal="center"/>
      <protection locked="0" hidden="0"/>
    </xf>
    <xf numFmtId="164" fontId="7" fillId="0" borderId="0" applyProtection="1" pivotButton="0" quotePrefix="0" xfId="0">
      <protection locked="0" hidden="0"/>
    </xf>
    <xf numFmtId="49" fontId="3" fillId="0" borderId="0" applyAlignment="1" applyProtection="1" pivotButton="0" quotePrefix="0" xfId="0">
      <alignment wrapText="1"/>
      <protection locked="0" hidden="0"/>
    </xf>
    <xf numFmtId="9" fontId="5" fillId="0" borderId="0" pivotButton="0" quotePrefix="0" xfId="0"/>
    <xf numFmtId="9" fontId="6" fillId="0" borderId="0" pivotButton="0" quotePrefix="0" xfId="0"/>
    <xf numFmtId="9" fontId="7" fillId="0" borderId="0" applyAlignment="1" applyProtection="1" pivotButton="0" quotePrefix="0" xfId="0">
      <alignment horizontal="center"/>
      <protection locked="0" hidden="0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0" fontId="0" fillId="0" borderId="0" pivotButton="0" quotePrefix="0" xfId="0"/>
    <xf numFmtId="10" fontId="0" fillId="0" borderId="0" pivotButton="1" quotePrefix="0" xfId="0"/>
    <xf numFmtId="10" fontId="0" fillId="0" borderId="0" applyAlignment="1" pivotButton="0" quotePrefix="0" xfId="0">
      <alignment wrapText="1"/>
    </xf>
    <xf numFmtId="14" fontId="1" fillId="0" borderId="0" pivotButton="0" quotePrefix="0" xfId="0"/>
    <xf numFmtId="14" fontId="2" fillId="0" borderId="0" applyAlignment="1" pivotButton="0" quotePrefix="0" xfId="0">
      <alignment horizontal="right"/>
    </xf>
    <xf numFmtId="14" fontId="3" fillId="0" borderId="0" pivotButton="0" quotePrefix="0" xfId="0"/>
    <xf numFmtId="0" fontId="2" fillId="0" borderId="0" pivotButton="0" quotePrefix="0" xfId="0"/>
    <xf numFmtId="0" fontId="3" fillId="0" borderId="0" applyAlignment="1" applyProtection="1" pivotButton="0" quotePrefix="0" xfId="0">
      <alignment horizontal="left"/>
      <protection locked="0" hidden="0"/>
    </xf>
    <xf numFmtId="14" fontId="3" fillId="0" borderId="0" applyAlignment="1" applyProtection="1" pivotButton="0" quotePrefix="0" xfId="0">
      <alignment horizontal="center"/>
      <protection locked="0" hidden="0"/>
    </xf>
    <xf numFmtId="49" fontId="3" fillId="0" borderId="0" applyAlignment="1" applyProtection="1" pivotButton="0" quotePrefix="0" xfId="0">
      <alignment horizontal="left"/>
      <protection locked="0" hidden="0"/>
    </xf>
    <xf numFmtId="4" fontId="3" fillId="0" borderId="0" applyAlignment="1" applyProtection="1" pivotButton="0" quotePrefix="0" xfId="0">
      <alignment horizontal="right"/>
      <protection locked="0" hidden="0"/>
    </xf>
    <xf numFmtId="0" fontId="10" fillId="0" borderId="0" applyProtection="1" pivotButton="0" quotePrefix="0" xfId="0">
      <protection locked="0" hidden="0"/>
    </xf>
    <xf numFmtId="17" fontId="3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0" pivotButton="0" quotePrefix="0" xfId="0"/>
    <xf numFmtId="17" fontId="3" fillId="0" borderId="0" applyAlignment="1" applyProtection="1" pivotButton="0" quotePrefix="0" xfId="0">
      <alignment horizontal="left" vertical="top"/>
      <protection locked="0" hidden="0"/>
    </xf>
    <xf numFmtId="0" fontId="14" fillId="0" borderId="0" pivotButton="0" quotePrefix="0" xfId="0"/>
    <xf numFmtId="164" fontId="2" fillId="0" borderId="4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14" fontId="3" fillId="0" borderId="4" applyAlignment="1" pivotButton="0" quotePrefix="0" xfId="0">
      <alignment horizontal="center"/>
    </xf>
    <xf numFmtId="14" fontId="3" fillId="0" borderId="0" applyAlignment="1" applyProtection="1" pivotButton="0" quotePrefix="0" xfId="0">
      <alignment horizontal="left"/>
      <protection locked="0" hidden="0"/>
    </xf>
    <xf numFmtId="0" fontId="3" fillId="0" borderId="0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64" fontId="3" fillId="0" borderId="0" applyAlignment="1" applyProtection="1" pivotButton="0" quotePrefix="0" xfId="0">
      <alignment horizontal="left"/>
      <protection locked="0" hidden="0"/>
    </xf>
    <xf numFmtId="0" fontId="1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2" fontId="4" fillId="0" borderId="0" applyAlignment="1" pivotButton="0" quotePrefix="0" xfId="0">
      <alignment horizontal="center"/>
    </xf>
    <xf numFmtId="0" fontId="1" fillId="0" borderId="0" pivotButton="0" quotePrefix="0" xfId="0"/>
    <xf numFmtId="0" fontId="18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17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/>
    </xf>
  </cellXfs>
  <cellStyles count="1">
    <cellStyle name="Standard" xfId="0" builtinId="0"/>
  </cellStyles>
  <dxfs count="35">
    <dxf>
      <alignment wrapText="1"/>
    </dxf>
    <dxf>
      <alignment wrapText="1"/>
    </dxf>
    <dxf>
      <alignment wrapText="1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lor theme="0" tint="-0.499984740745262"/>
        <sz val="9"/>
        <vertAlign val="baseline"/>
        <scheme val="minor"/>
      </font>
      <numFmt numFmtId="13" formatCode="0%"/>
    </dxf>
    <dxf>
      <font>
        <name val="Calibri"/>
        <family val="2"/>
        <strike val="0"/>
        <outline val="0"/>
        <shadow val="0"/>
        <color theme="0" tint="-0.499984740745262"/>
        <sz val="9"/>
        <vertAlign val="baseline"/>
        <scheme val="minor"/>
      </font>
      <numFmt numFmtId="164" formatCode="#,##0.00\ &quot;€&quot;"/>
    </dxf>
    <dxf>
      <font>
        <name val="Calibri"/>
        <family val="2"/>
        <strike val="0"/>
        <outline val="0"/>
        <shadow val="0"/>
        <color theme="0" tint="-0.499984740745262"/>
        <sz val="9"/>
        <vertAlign val="baseline"/>
        <scheme val="minor"/>
      </font>
      <numFmt numFmtId="1" formatCode="0"/>
      <alignment horizontal="center" vertical="bottom"/>
    </dxf>
    <dxf>
      <font>
        <name val="Calibri"/>
        <family val="2"/>
        <strike val="0"/>
        <outline val="0"/>
        <shadow val="0"/>
        <color theme="0" tint="-0.499984740745262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#,##0.00\ &quot;€&quot;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#,##0.00\ &quot;€&quot;"/>
      <alignment horizontal="left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9" formatCode="dd/mm/yyyy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9" formatCode="dd/mm/yyyy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#,##0.00\ &quot;€&quot;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#,##0.00\ &quot;€&quot;"/>
      <alignment horizontal="center" vertical="bottom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#,##0.00\ &quot;€&quot;"/>
      <alignment horizontal="center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numFmt numFmtId="4" formatCode="#,##0.00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numFmt numFmtId="4" formatCode="#,##0.00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numFmt numFmtId="30" formatCode="@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numFmt numFmtId="19" formatCode="dd/mm/yyyy"/>
      <protection locked="0" hidden="0"/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protection locked="0" hidden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Faszl, Klaus Stefan</author>
  </authors>
  <commentList>
    <comment ref="H4" authorId="0" shapeId="0">
      <text>
        <t>E = Erwartete Zahlung
U= Überweisung 
K=Kartenzahlung
(mit X Übetragung ist erfolgt)</t>
      </text>
    </comment>
    <comment ref="L4" authorId="0" shapeId="0">
      <text>
        <t xml:space="preserve">Zusätzlicher Verwendungszweck
</t>
      </text>
    </comment>
    <comment ref="N4" authorId="0" shapeId="0">
      <text>
        <t>Konto-ID: VR, FX</t>
      </text>
    </comment>
  </commentList>
</comments>
</file>

<file path=xl/comments/comment2.xml><?xml version="1.0" encoding="utf-8"?>
<comments xmlns="http://schemas.openxmlformats.org/spreadsheetml/2006/main">
  <authors>
    <author>Faszl, Klaus Stefan</author>
  </authors>
  <commentList>
    <comment ref="C5" authorId="0" shapeId="0">
      <text>
        <t>E = Erwartete Zahlung, Abbuchung
U= Überweisung
K= Kreditkarte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Faszl, Klaus Stefan" refreshedDate="46104.53245277778" createdVersion="8" refreshedVersion="8" minRefreshableVersion="3" recordCount="716" r:id="rId1">
  <cacheSource type="worksheet">
    <worksheetSource name="tb_rechnungen"/>
  </cacheSource>
  <cacheFields count="18">
    <cacheField name="Re-Datum" uniqueList="1" numFmtId="14" sqlType="0" hierarchy="0" level="0" databaseField="1">
      <sharedItems count="0" containsBlank="1" containsDate="1" containsNonDate="0" containsString="0" minDate="2025-01-01T00:00:00" maxDate="2026-03-18T00:00:00"/>
    </cacheField>
    <cacheField name="Name/Lieferant" uniqueList="1" numFmtId="0" sqlType="0" hierarchy="0" level="0" databaseField="1">
      <sharedItems count="0" containsBlank="1"/>
    </cacheField>
    <cacheField name="RE-Nr" uniqueList="1" numFmtId="0" sqlType="0" hierarchy="0" level="0" databaseField="1">
      <sharedItems count="0" containsBlank="1" containsInteger="1" containsMixedTypes="1" containsNumber="1" minValue="381122" maxValue="10235971499"/>
    </cacheField>
    <cacheField name="TYP" uniqueList="1" numFmtId="0" sqlType="0" hierarchy="0" level="0" databaseField="1">
      <sharedItems count="6" containsBlank="1">
        <s v="E"/>
        <s v="K"/>
        <s v="K1"/>
        <m/>
        <s v="KM"/>
        <s v="K "/>
      </sharedItems>
    </cacheField>
    <cacheField name="Text" uniqueList="1" numFmtId="0" sqlType="0" hierarchy="0" level="0" databaseField="1">
      <sharedItems count="0" containsBlank="1" containsDate="1" containsMixedTypes="1" minDate="2025-05-01T00:00:00" maxDate="2025-05-02T00:00:00"/>
    </cacheField>
    <cacheField name="Netto" uniqueList="1" numFmtId="4" sqlType="0" hierarchy="0" level="0" databaseField="1">
      <sharedItems count="0" containsBlank="1" containsNumber="1" containsString="0" minValue="-281.34" maxValue="7128"/>
    </cacheField>
    <cacheField name="Brutto" uniqueList="1" numFmtId="4" sqlType="0" hierarchy="0" level="0" databaseField="1">
      <sharedItems count="0" containsBlank="1" containsNumber="1" containsString="0" minValue="-334.79" maxValue="8482.32"/>
    </cacheField>
    <cacheField name="EU" uniqueList="1" numFmtId="164" sqlType="0" hierarchy="0" level="0" databaseField="1">
      <sharedItems count="0" containsBlank="1"/>
    </cacheField>
    <cacheField name="A,Z" uniqueList="1" numFmtId="0" sqlType="0" hierarchy="0" level="0" databaseField="1">
      <sharedItems count="0" containsBlank="1"/>
    </cacheField>
    <cacheField name="M?" uniqueList="1" numFmtId="0" sqlType="0" hierarchy="0" level="0" databaseField="1">
      <sharedItems count="0" containsBlank="1"/>
    </cacheField>
    <cacheField name="Fällig_am" uniqueList="1" numFmtId="14" sqlType="0" hierarchy="0" level="0" databaseField="1">
      <sharedItems count="0" containsBlank="1" containsDate="1" containsMixedTypes="1" minDate="2025-12-17T00:00:00" maxDate="2026-12-14T00:00:00"/>
    </cacheField>
    <cacheField name="U_Text" uniqueList="1" numFmtId="14" sqlType="0" hierarchy="0" level="0" databaseField="1">
      <sharedItems count="0" containsBlank="1"/>
    </cacheField>
    <cacheField name="IBAN" uniqueList="1" numFmtId="0" sqlType="0" hierarchy="0" level="0" databaseField="1">
      <sharedItems count="0" containsBlank="1"/>
    </cacheField>
    <cacheField name="Konto-ID" uniqueList="1" numFmtId="0" sqlType="0" hierarchy="0" level="0" databaseField="1">
      <sharedItems count="0" containsBlank="1"/>
    </cacheField>
    <cacheField name="Monat" uniqueList="1" numFmtId="0" sqlType="0" hierarchy="0" level="0" databaseField="1">
      <sharedItems count="13" containsInteger="1" containsMixedTypes="1" containsNumber="1" minValue="1" maxValue="12">
        <n v="1"/>
        <n v="2"/>
        <n v="3"/>
        <n v="4"/>
        <n v="5"/>
        <n v="6"/>
        <n v="7"/>
        <n v="8"/>
        <n v="9"/>
        <n v="10"/>
        <n v="11"/>
        <n v="12"/>
        <s v=""/>
      </sharedItems>
    </cacheField>
    <cacheField name="Jahr" uniqueList="1" numFmtId="1" sqlType="0" hierarchy="0" level="0" databaseField="1">
      <sharedItems count="5" containsInteger="1" containsMixedTypes="1" containsNumber="1" minValue="1900" maxValue="2205">
        <n v="2025"/>
        <n v="2026"/>
        <s v=""/>
        <n v="1900" u="1"/>
        <n v="2205" u="1"/>
      </sharedItems>
    </cacheField>
    <cacheField name="Steuer" uniqueList="1" numFmtId="164" sqlType="0" hierarchy="0" level="0" databaseField="1">
      <sharedItems count="0" containsMixedTypes="1" containsNumber="1" minValue="-53.45000000000005" maxValue="1354.32"/>
    </cacheField>
    <cacheField name="St%" uniqueList="1" numFmtId="9" sqlType="0" hierarchy="0" level="0" databaseField="1">
      <sharedItems count="17" containsMixedTypes="1" containsNumber="1" minValue="-0.44" maxValue="0.61">
        <n v="0"/>
        <n v="0.19"/>
        <n v="0.07000000000000001"/>
        <s v=""/>
        <n v="-0.44" u="1"/>
        <n v="0.09" u="1"/>
        <n v="0.2" u="1"/>
        <n v="0.61" u="1"/>
        <n v="0.1" u="1"/>
        <n v="0.05" u="1"/>
        <n v="0.18" u="1"/>
        <n v="0.12" u="1"/>
        <n v="-0.27" u="1"/>
        <n v="0.25" u="1"/>
        <n v="0.22" u="1"/>
        <n v="0.23" u="1"/>
        <n v="0.27" u="1"/>
      </sharedItems>
    </cacheField>
  </cacheFields>
</pivotCacheDefinition>
</file>

<file path=xl/pivotCache/pivotCacheRecords1.xml><?xml version="1.0" encoding="utf-8"?>
<pivotCacheRecords xmlns="http://schemas.openxmlformats.org/spreadsheetml/2006/main" count="716">
  <r>
    <d v="2025-01-01T00:00:00"/>
    <s v="AppTec"/>
    <s v="2025-1-23608"/>
    <x v="0"/>
    <s v="Unified Endpoint Management Package"/>
    <n v="2864.4"/>
    <n v="2864.4"/>
    <s v="X"/>
    <s v="Z"/>
    <s v="M"/>
    <m/>
    <m/>
    <m/>
    <m/>
    <x v="0"/>
    <x v="0"/>
    <n v="0"/>
    <x v="0"/>
  </r>
  <r>
    <d v="2025-01-02T00:00:00"/>
    <s v="Ruf-Schorg"/>
    <s v="Miete 01/2025"/>
    <x v="1"/>
    <s v="Miete"/>
    <n v="225"/>
    <n v="225"/>
    <s v="X"/>
    <s v="D"/>
    <s v="M"/>
    <m/>
    <m/>
    <m/>
    <m/>
    <x v="0"/>
    <x v="0"/>
    <n v="0"/>
    <x v="0"/>
  </r>
  <r>
    <d v="2025-01-07T00:00:00"/>
    <s v="FP Digital"/>
    <s v="20250101-11278"/>
    <x v="0"/>
    <s v="FP Sign Business Benutzerlizenz"/>
    <n v="335.16"/>
    <n v="398.84"/>
    <s v="X"/>
    <s v="Z"/>
    <s v="M"/>
    <m/>
    <m/>
    <m/>
    <m/>
    <x v="0"/>
    <x v="0"/>
    <n v="63.67999999999995"/>
    <x v="1"/>
  </r>
  <r>
    <d v="2025-01-02T00:00:00"/>
    <s v="Splashtop"/>
    <s v="02TP250102854310"/>
    <x v="0"/>
    <s v="Fernzugriffslizenz"/>
    <n v="405"/>
    <n v="405"/>
    <s v="X"/>
    <s v="A"/>
    <s v="M"/>
    <m/>
    <m/>
    <m/>
    <m/>
    <x v="0"/>
    <x v="0"/>
    <n v="0"/>
    <x v="0"/>
  </r>
  <r>
    <d v="2025-01-02T00:00:00"/>
    <s v="Synaxon"/>
    <s v="RG 40412858"/>
    <x v="2"/>
    <s v="Synaxon-Betrag (letzte RG)"/>
    <n v="110"/>
    <n v="130.9"/>
    <s v="X"/>
    <s v="A"/>
    <s v="M"/>
    <m/>
    <m/>
    <m/>
    <m/>
    <x v="0"/>
    <x v="0"/>
    <n v="20.90000000000001"/>
    <x v="1"/>
  </r>
  <r>
    <d v="2025-01-02T00:00:00"/>
    <s v="Greiner"/>
    <s v="GM8268"/>
    <x v="1"/>
    <s v="Buchhaltung 11/2024"/>
    <n v="90"/>
    <n v="107"/>
    <s v="X"/>
    <s v="Z"/>
    <s v="M"/>
    <m/>
    <m/>
    <m/>
    <m/>
    <x v="0"/>
    <x v="0"/>
    <n v="17"/>
    <x v="1"/>
  </r>
  <r>
    <d v="2025-01-02T00:00:00"/>
    <s v="Synaxon"/>
    <n v="10208487"/>
    <x v="0"/>
    <s v="APC GOV/EDU/HEALTHCARE RBC55"/>
    <n v="400.66"/>
    <n v="476.79"/>
    <s v="X"/>
    <s v="A"/>
    <s v="M"/>
    <m/>
    <m/>
    <m/>
    <m/>
    <x v="0"/>
    <x v="0"/>
    <n v="76.13"/>
    <x v="1"/>
  </r>
  <r>
    <d v="2025-01-01T00:00:00"/>
    <s v="VW Leasing"/>
    <n v="10235971499"/>
    <x v="1"/>
    <s v="Service-Rate 01.2025"/>
    <n v="37.43"/>
    <n v="44.54"/>
    <s v="X"/>
    <s v="A"/>
    <s v="M"/>
    <m/>
    <m/>
    <m/>
    <m/>
    <x v="0"/>
    <x v="0"/>
    <n v="7.109999999999999"/>
    <x v="1"/>
  </r>
  <r>
    <d v="2025-01-06T00:00:00"/>
    <s v="GS1 Aisbl"/>
    <n v="2025104254"/>
    <x v="1"/>
    <s v="LEI-Verlängerung"/>
    <n v="59"/>
    <n v="59"/>
    <s v="X"/>
    <s v="A"/>
    <s v="M"/>
    <m/>
    <m/>
    <m/>
    <s v="FX"/>
    <x v="0"/>
    <x v="0"/>
    <n v="0"/>
    <x v="0"/>
  </r>
  <r>
    <d v="2025-01-06T00:00:00"/>
    <s v="Sage"/>
    <s v="2025-1087742"/>
    <x v="1"/>
    <s v="Sage Business Cloud Lohnabrechnung"/>
    <n v="26"/>
    <n v="30.94"/>
    <s v="X"/>
    <s v="A"/>
    <s v="M"/>
    <m/>
    <m/>
    <m/>
    <m/>
    <x v="0"/>
    <x v="0"/>
    <n v="4.940000000000001"/>
    <x v="1"/>
  </r>
  <r>
    <d v="2025-01-06T00:00:00"/>
    <s v="Cyberport"/>
    <s v="R6004817729"/>
    <x v="0"/>
    <s v="Synology DS423 NAS System 4-Bay 48 TB"/>
    <n v="1369.75"/>
    <n v="1630"/>
    <s v="X"/>
    <s v="Z"/>
    <s v="M"/>
    <m/>
    <m/>
    <m/>
    <m/>
    <x v="0"/>
    <x v="0"/>
    <n v="260.25"/>
    <x v="1"/>
  </r>
  <r>
    <d v="2025-01-06T00:00:00"/>
    <s v="IKK Südwest"/>
    <s v="51x259195x2729x"/>
    <x v="1"/>
    <s v="Säumniszuschläge"/>
    <n v="1.5"/>
    <n v="1.5"/>
    <s v="X"/>
    <s v="Z"/>
    <s v="M"/>
    <m/>
    <m/>
    <m/>
    <m/>
    <x v="0"/>
    <x v="0"/>
    <n v="0"/>
    <x v="0"/>
  </r>
  <r>
    <d v="2025-01-07T00:00:00"/>
    <s v="Lizensio (OEM-Vertriebs GmbH )"/>
    <s v="OEM-L-2025580596"/>
    <x v="0"/>
    <s v="Microsoft Windows 10/11 Professional"/>
    <n v="12.52"/>
    <n v="14.9"/>
    <s v="X"/>
    <s v="A"/>
    <s v="M"/>
    <m/>
    <m/>
    <m/>
    <m/>
    <x v="0"/>
    <x v="0"/>
    <n v="2.380000000000001"/>
    <x v="1"/>
  </r>
  <r>
    <d v="2025-01-07T00:00:00"/>
    <s v="Haus&amp;Grund"/>
    <s v="Mietvertrag"/>
    <x v="3"/>
    <s v="Mietkaution"/>
    <n v="2000"/>
    <n v="2000"/>
    <s v="X"/>
    <s v="Z"/>
    <s v="M"/>
    <m/>
    <m/>
    <m/>
    <m/>
    <x v="0"/>
    <x v="0"/>
    <n v="0"/>
    <x v="0"/>
  </r>
  <r>
    <d v="2025-01-08T00:00:00"/>
    <s v="Four Js"/>
    <s v="SI000535"/>
    <x v="0"/>
    <s v="Genero Developer/Runtime"/>
    <n v="4004"/>
    <n v="4004"/>
    <s v="X"/>
    <s v="Z"/>
    <s v="M"/>
    <m/>
    <m/>
    <m/>
    <m/>
    <x v="0"/>
    <x v="0"/>
    <n v="0"/>
    <x v="0"/>
  </r>
  <r>
    <d v="2025-01-09T00:00:00"/>
    <s v="Wortmann"/>
    <s v="DR8404100"/>
    <x v="0"/>
    <s v="TERRA CLOUD"/>
    <n v="9.9"/>
    <n v="11.78"/>
    <s v="X"/>
    <s v="Z"/>
    <s v="M"/>
    <m/>
    <m/>
    <m/>
    <m/>
    <x v="0"/>
    <x v="0"/>
    <n v="1.879999999999999"/>
    <x v="1"/>
  </r>
  <r>
    <d v="2025-01-10T00:00:00"/>
    <s v="Ratiokontakt"/>
    <s v="R10865717 "/>
    <x v="0"/>
    <s v="ResellerWeb M, Linux - monatliche Miete -"/>
    <n v="29.9"/>
    <n v="35.58"/>
    <s v="X"/>
    <s v="Z"/>
    <s v="M"/>
    <m/>
    <m/>
    <m/>
    <m/>
    <x v="0"/>
    <x v="0"/>
    <n v="5.68"/>
    <x v="1"/>
  </r>
  <r>
    <d v="2025-01-11T00:00:00"/>
    <s v="VitalWorks noIP"/>
    <s v="INV5252826"/>
    <x v="0"/>
    <s v="Dynamic DNS bis 25 Hosts 34,99 USD"/>
    <n v="35.68"/>
    <n v="35.68"/>
    <s v="X"/>
    <s v="A"/>
    <s v="M"/>
    <m/>
    <m/>
    <m/>
    <m/>
    <x v="0"/>
    <x v="0"/>
    <n v="0"/>
    <x v="0"/>
  </r>
  <r>
    <d v="2025-01-13T00:00:00"/>
    <s v="IT-Anger Kassen24"/>
    <s v="RE2597-2025"/>
    <x v="0"/>
    <s v="Netzteil Sunmi D2 mini fü KVP"/>
    <n v="44.93"/>
    <n v="53.47"/>
    <s v="X"/>
    <s v="A"/>
    <s v="M"/>
    <m/>
    <m/>
    <m/>
    <m/>
    <x v="0"/>
    <x v="0"/>
    <n v="8.539999999999999"/>
    <x v="1"/>
  </r>
  <r>
    <d v="2025-01-13T00:00:00"/>
    <s v="Telekom"/>
    <s v="34 1459 3400 0551"/>
    <x v="1"/>
    <s v="Mobilfunk-Rechnung Sz"/>
    <n v="13.55"/>
    <n v="16.12"/>
    <s v="X"/>
    <s v="A"/>
    <s v="M"/>
    <m/>
    <m/>
    <m/>
    <m/>
    <x v="0"/>
    <x v="0"/>
    <n v="2.57"/>
    <x v="1"/>
  </r>
  <r>
    <d v="2025-01-14T00:00:00"/>
    <s v="DHL"/>
    <s v="DOF-250114YY3B4PF2ZLNW-0039385437"/>
    <x v="0"/>
    <m/>
    <n v="6.19"/>
    <n v="6.19"/>
    <s v="X"/>
    <s v="A"/>
    <s v="M"/>
    <m/>
    <m/>
    <m/>
    <m/>
    <x v="0"/>
    <x v="0"/>
    <n v="0"/>
    <x v="0"/>
  </r>
  <r>
    <d v="2025-01-15T00:00:00"/>
    <s v="wolkesicher"/>
    <s v="RG 376500"/>
    <x v="1"/>
    <s v="Premium Silber (C) - uhde.wolkesicher.de"/>
    <n v="4.19"/>
    <n v="4.99"/>
    <s v="X"/>
    <s v="A"/>
    <s v="M"/>
    <m/>
    <m/>
    <m/>
    <m/>
    <x v="0"/>
    <x v="0"/>
    <n v="0.7999999999999998"/>
    <x v="1"/>
  </r>
  <r>
    <d v="2025-01-13T00:00:00"/>
    <s v="Novitas BKK"/>
    <s v="RG 52432626"/>
    <x v="1"/>
    <s v="Säumniszuschläge"/>
    <n v="4.5"/>
    <n v="4.5"/>
    <s v="X"/>
    <s v="Z"/>
    <s v="M"/>
    <m/>
    <m/>
    <m/>
    <m/>
    <x v="0"/>
    <x v="0"/>
    <n v="0"/>
    <x v="0"/>
  </r>
  <r>
    <d v="2025-01-15T00:00:00"/>
    <s v="Blau"/>
    <s v="R116990920508"/>
    <x v="1"/>
    <s v="Faszl Mobil Januar"/>
    <n v="6.71"/>
    <n v="7.99"/>
    <s v="X"/>
    <s v="A"/>
    <s v="M"/>
    <m/>
    <m/>
    <m/>
    <m/>
    <x v="0"/>
    <x v="0"/>
    <n v="1.28"/>
    <x v="1"/>
  </r>
  <r>
    <d v="2025-01-16T00:00:00"/>
    <s v="Telekom"/>
    <s v="772 276 4393"/>
    <x v="1"/>
    <s v="Festnetz-Rechnung Schulze Januar"/>
    <n v="33.57"/>
    <n v="39.95"/>
    <s v="X"/>
    <s v="A"/>
    <s v="M"/>
    <m/>
    <m/>
    <m/>
    <m/>
    <x v="0"/>
    <x v="0"/>
    <n v="6.380000000000003"/>
    <x v="1"/>
  </r>
  <r>
    <d v="2025-01-16T00:00:00"/>
    <s v="Bundesanzeiger"/>
    <s v="R95589489"/>
    <x v="2"/>
    <s v="Einstellungs- u. Prüfungsgebühr, Jahresgebühr"/>
    <n v="38.3"/>
    <n v="45.58"/>
    <s v="X"/>
    <s v="Z"/>
    <s v="M"/>
    <m/>
    <m/>
    <m/>
    <m/>
    <x v="0"/>
    <x v="0"/>
    <n v="7.280000000000001"/>
    <x v="1"/>
  </r>
  <r>
    <d v="2025-01-20T00:00:00"/>
    <s v="API"/>
    <s v="R13581808"/>
    <x v="0"/>
    <s v="Huawei B353-235a LTE-Router UHDE intern"/>
    <n v="96.88"/>
    <n v="115.29"/>
    <s v="X"/>
    <s v="Z"/>
    <s v="M"/>
    <m/>
    <m/>
    <m/>
    <m/>
    <x v="0"/>
    <x v="0"/>
    <n v="18.41000000000001"/>
    <x v="1"/>
  </r>
  <r>
    <d v="2025-01-15T00:00:00"/>
    <s v="DKV"/>
    <s v="25/641384149/000"/>
    <x v="1"/>
    <s v="Abrechnung"/>
    <n v="198.7"/>
    <n v="236.45"/>
    <s v="X"/>
    <s v="A"/>
    <s v="M"/>
    <m/>
    <m/>
    <m/>
    <m/>
    <x v="0"/>
    <x v="0"/>
    <n v="37.75"/>
    <x v="1"/>
  </r>
  <r>
    <d v="2025-01-21T00:00:00"/>
    <s v="Telekom"/>
    <s v="772 543 0663"/>
    <x v="1"/>
    <s v="Faszl Januar"/>
    <n v="37.77"/>
    <n v="44.95"/>
    <s v="X"/>
    <s v="A"/>
    <s v="M"/>
    <m/>
    <m/>
    <m/>
    <m/>
    <x v="0"/>
    <x v="0"/>
    <n v="7.18"/>
    <x v="1"/>
  </r>
  <r>
    <d v="2025-01-23T00:00:00"/>
    <s v="IT-Anger Kassen24"/>
    <s v="RE2615-2025"/>
    <x v="0"/>
    <s v="2 x Sunmi D2 mini"/>
    <n v="398"/>
    <n v="473.62"/>
    <s v="X"/>
    <s v="Z"/>
    <s v="M"/>
    <m/>
    <m/>
    <m/>
    <m/>
    <x v="0"/>
    <x v="0"/>
    <n v="75.62"/>
    <x v="1"/>
  </r>
  <r>
    <d v="2025-01-23T00:00:00"/>
    <s v="Stadtwerke Speyer"/>
    <s v="0002-ARV-2024-67296"/>
    <x v="1"/>
    <s v="Abrechnung 2024"/>
    <n v="-29.64"/>
    <n v="-35.3"/>
    <s v="X"/>
    <s v="A"/>
    <s v="M"/>
    <m/>
    <m/>
    <m/>
    <m/>
    <x v="0"/>
    <x v="0"/>
    <n v="-5.659999999999997"/>
    <x v="1"/>
  </r>
  <r>
    <d v="2025-01-29T00:00:00"/>
    <s v="Telekom"/>
    <s v="772 953 5383"/>
    <x v="1"/>
    <s v="Büro Februar"/>
    <n v="39.9"/>
    <n v="47.48"/>
    <s v="X"/>
    <s v="A"/>
    <s v="M"/>
    <m/>
    <m/>
    <m/>
    <m/>
    <x v="0"/>
    <x v="0"/>
    <n v="7.579999999999998"/>
    <x v="1"/>
  </r>
  <r>
    <d v="2025-01-30T00:00:00"/>
    <s v="DHL"/>
    <m/>
    <x v="0"/>
    <s v="Paket KVP PayPal"/>
    <n v="7.69"/>
    <n v="7.69"/>
    <s v="X"/>
    <s v="A"/>
    <s v="M"/>
    <m/>
    <m/>
    <m/>
    <m/>
    <x v="0"/>
    <x v="0"/>
    <n v="0"/>
    <x v="0"/>
  </r>
  <r>
    <d v="2025-01-30T00:00:00"/>
    <s v="DHL"/>
    <m/>
    <x v="0"/>
    <s v="Paket KVP Visa FINOM Restbetrag"/>
    <n v="2.8"/>
    <n v="2.8"/>
    <s v="X"/>
    <s v="A"/>
    <s v="M"/>
    <m/>
    <m/>
    <m/>
    <s v="FX"/>
    <x v="0"/>
    <x v="0"/>
    <n v="0"/>
    <x v="0"/>
  </r>
  <r>
    <d v="2025-01-30T00:00:00"/>
    <s v="Ehlert Software"/>
    <s v="5-0125222"/>
    <x v="0"/>
    <s v="Drive Snapshot 1.5"/>
    <n v="32.77"/>
    <n v="39"/>
    <s v="X"/>
    <s v="A"/>
    <s v="M"/>
    <m/>
    <m/>
    <m/>
    <m/>
    <x v="0"/>
    <x v="0"/>
    <n v="6.229999999999997"/>
    <x v="1"/>
  </r>
  <r>
    <d v="2025-01-30T00:00:00"/>
    <s v="API"/>
    <s v="13619676"/>
    <x v="0"/>
    <s v="2 x Ubiquiti Accesspoint BLK"/>
    <n v="300.58"/>
    <n v="357.69"/>
    <s v="X"/>
    <s v="Z"/>
    <s v="M"/>
    <m/>
    <m/>
    <m/>
    <m/>
    <x v="0"/>
    <x v="0"/>
    <n v="57.11000000000001"/>
    <x v="1"/>
  </r>
  <r>
    <d v="2025-01-31T00:00:00"/>
    <s v="Haus&amp;Grund"/>
    <s v="NK-Abr 2023"/>
    <x v="1"/>
    <s v="NK-Abrechnung 2023"/>
    <n v="796.4400000000001"/>
    <n v="796.4400000000001"/>
    <s v="X"/>
    <s v="A"/>
    <s v="M"/>
    <m/>
    <m/>
    <m/>
    <m/>
    <x v="0"/>
    <x v="0"/>
    <n v="0"/>
    <x v="0"/>
  </r>
  <r>
    <d v="2025-02-01T00:00:00"/>
    <s v="Sage"/>
    <s v="2025-1110136"/>
    <x v="1"/>
    <s v="L&amp;G-Abrechnung"/>
    <n v="32.26"/>
    <n v="38.26"/>
    <s v="X"/>
    <s v="A"/>
    <s v="M"/>
    <m/>
    <m/>
    <m/>
    <m/>
    <x v="1"/>
    <x v="0"/>
    <n v="6"/>
    <x v="1"/>
  </r>
  <r>
    <d v="2025-01-31T00:00:00"/>
    <s v="A&amp;N Electrorecycling"/>
    <s v="20250173"/>
    <x v="2"/>
    <s v="Schrottentsorgung"/>
    <n v="273.93"/>
    <n v="325.98"/>
    <s v="X"/>
    <s v="Z"/>
    <s v="M"/>
    <m/>
    <m/>
    <m/>
    <m/>
    <x v="0"/>
    <x v="0"/>
    <n v="52.05000000000001"/>
    <x v="1"/>
  </r>
  <r>
    <d v="2025-01-31T00:00:00"/>
    <s v="A&amp;N Electrorecycling"/>
    <s v="20250174"/>
    <x v="2"/>
    <s v="Gutschrift Kleingeräte - Computer, Server"/>
    <n v="-8.6"/>
    <n v="-8.6"/>
    <s v="X"/>
    <s v="Z"/>
    <s v="M"/>
    <m/>
    <m/>
    <m/>
    <m/>
    <x v="0"/>
    <x v="0"/>
    <n v="0"/>
    <x v="0"/>
  </r>
  <r>
    <d v="2025-02-03T00:00:00"/>
    <s v="Westcon "/>
    <s v="1075553324"/>
    <x v="0"/>
    <s v="Trendmicro EMS 120 User, WFB"/>
    <n v="1697.28"/>
    <n v="2019.76"/>
    <s v="X"/>
    <s v="Z"/>
    <s v="M"/>
    <m/>
    <m/>
    <m/>
    <m/>
    <x v="1"/>
    <x v="0"/>
    <n v="322.48"/>
    <x v="1"/>
  </r>
  <r>
    <d v="2025-01-31T00:00:00"/>
    <s v="DTS "/>
    <s v="25-13-053774"/>
    <x v="1"/>
    <s v="Centrexx3 Januar"/>
    <n v="3.67"/>
    <n v="4.37"/>
    <s v="X"/>
    <s v="A"/>
    <s v="M"/>
    <m/>
    <m/>
    <m/>
    <m/>
    <x v="0"/>
    <x v="0"/>
    <n v="0.7000000000000002"/>
    <x v="1"/>
  </r>
  <r>
    <d v="2025-02-01T00:00:00"/>
    <s v="VW Leasing"/>
    <s v="10237455855 "/>
    <x v="1"/>
    <s v="Rate 02/2025"/>
    <n v="37.43"/>
    <n v="44.54"/>
    <s v="X"/>
    <s v="A"/>
    <s v="M"/>
    <m/>
    <m/>
    <m/>
    <m/>
    <x v="1"/>
    <x v="0"/>
    <n v="7.109999999999999"/>
    <x v="1"/>
  </r>
  <r>
    <d v="2025-01-31T00:00:00"/>
    <s v="DTS "/>
    <s v="11503482"/>
    <x v="1"/>
    <s v="Centrexx2 Januar"/>
    <n v="40.06"/>
    <n v="47.67"/>
    <s v="X"/>
    <s v="A"/>
    <s v="M"/>
    <m/>
    <m/>
    <m/>
    <m/>
    <x v="0"/>
    <x v="0"/>
    <n v="7.609999999999999"/>
    <x v="1"/>
  </r>
  <r>
    <d v="2025-02-03T00:00:00"/>
    <s v="Haus&amp;Grund"/>
    <s v="Miete 02/2025"/>
    <x v="1"/>
    <s v="Miete"/>
    <n v="225"/>
    <n v="225"/>
    <s v="X"/>
    <s v="D"/>
    <s v="M"/>
    <m/>
    <m/>
    <m/>
    <m/>
    <x v="1"/>
    <x v="0"/>
    <n v="0"/>
    <x v="0"/>
  </r>
  <r>
    <d v="2025-02-04T00:00:00"/>
    <s v="Infinigate"/>
    <s v="PSI-23263795"/>
    <x v="0"/>
    <s v="Trellix 37 User FED"/>
    <n v="2444.96"/>
    <n v="2909.5"/>
    <s v="X"/>
    <s v="Z"/>
    <s v="M"/>
    <m/>
    <m/>
    <m/>
    <m/>
    <x v="1"/>
    <x v="0"/>
    <n v="464.54"/>
    <x v="1"/>
  </r>
  <r>
    <d v="2025-01-31T00:00:00"/>
    <s v="DKV"/>
    <s v="25-641570508-001"/>
    <x v="1"/>
    <s v="Abrechnung"/>
    <n v="109.37"/>
    <n v="130.15"/>
    <s v="X"/>
    <s v="A"/>
    <s v="M"/>
    <m/>
    <m/>
    <m/>
    <m/>
    <x v="0"/>
    <x v="0"/>
    <n v="20.78"/>
    <x v="1"/>
  </r>
  <r>
    <d v="2025-02-09T00:00:00"/>
    <s v="Video4Net"/>
    <s v="RG1010"/>
    <x v="1"/>
    <s v="Buchhaltung Dezember 2024"/>
    <n v="120"/>
    <n v="142.8"/>
    <s v="X"/>
    <s v="Z"/>
    <s v="M"/>
    <m/>
    <m/>
    <m/>
    <m/>
    <x v="1"/>
    <x v="0"/>
    <n v="22.80000000000001"/>
    <x v="1"/>
  </r>
  <r>
    <d v="2025-02-07T00:00:00"/>
    <s v="Westcon "/>
    <s v="1075553947"/>
    <x v="0"/>
    <s v="Trendmicro EMS 120 User, DHN"/>
    <n v="1697.28"/>
    <n v="2019.76"/>
    <s v="X"/>
    <s v="Z"/>
    <s v="M"/>
    <m/>
    <m/>
    <m/>
    <m/>
    <x v="1"/>
    <x v="0"/>
    <n v="322.48"/>
    <x v="1"/>
  </r>
  <r>
    <d v="2025-02-07T00:00:00"/>
    <s v="Westcon "/>
    <s v="1075553948"/>
    <x v="0"/>
    <s v="Trendmicro EMS 25 User, FED"/>
    <n v="681.7"/>
    <n v="811.22"/>
    <s v="X"/>
    <s v="Z"/>
    <s v="M"/>
    <m/>
    <m/>
    <m/>
    <m/>
    <x v="1"/>
    <x v="0"/>
    <n v="129.52"/>
    <x v="1"/>
  </r>
  <r>
    <d v="2025-02-07T00:00:00"/>
    <s v="Westcon "/>
    <s v="1075553949"/>
    <x v="0"/>
    <s v="Trendmicro EMS 10 User, GZI"/>
    <n v="208.28"/>
    <n v="247.85"/>
    <s v="X"/>
    <s v="Z"/>
    <s v="M"/>
    <m/>
    <m/>
    <m/>
    <m/>
    <x v="1"/>
    <x v="0"/>
    <n v="39.56999999999999"/>
    <x v="1"/>
  </r>
  <r>
    <d v="2025-02-07T00:00:00"/>
    <s v="IHK "/>
    <s v="3036315600259"/>
    <x v="1"/>
    <s v="Bescheid 2025"/>
    <n v="161.04"/>
    <n v="161.04"/>
    <s v="X"/>
    <s v="Z"/>
    <s v="M"/>
    <m/>
    <m/>
    <m/>
    <m/>
    <x v="1"/>
    <x v="0"/>
    <n v="0"/>
    <x v="0"/>
  </r>
  <r>
    <d v="2025-02-08T00:00:00"/>
    <s v="Wortmann"/>
    <s v="DR8458789"/>
    <x v="0"/>
    <s v="TERRA CLOUD Backup"/>
    <n v="9.9"/>
    <n v="11.78"/>
    <s v="X"/>
    <s v="Z"/>
    <s v="M"/>
    <m/>
    <m/>
    <m/>
    <m/>
    <x v="1"/>
    <x v="0"/>
    <n v="1.879999999999999"/>
    <x v="1"/>
  </r>
  <r>
    <d v="2025-02-10T00:00:00"/>
    <s v="Hetzner"/>
    <s v="084000154482"/>
    <x v="0"/>
    <s v="Storage"/>
    <n v="6.38"/>
    <n v="7.6"/>
    <s v="X"/>
    <s v="A"/>
    <s v="M"/>
    <m/>
    <m/>
    <m/>
    <m/>
    <x v="1"/>
    <x v="0"/>
    <n v="1.22"/>
    <x v="1"/>
  </r>
  <r>
    <d v="2025-02-10T00:00:00"/>
    <s v="Ratiokontakt"/>
    <s v="R10868279"/>
    <x v="0"/>
    <s v="ResellerWeb"/>
    <n v="29.9"/>
    <n v="35.58"/>
    <s v="X"/>
    <s v="Z"/>
    <s v="M"/>
    <m/>
    <m/>
    <m/>
    <m/>
    <x v="1"/>
    <x v="0"/>
    <n v="5.68"/>
    <x v="1"/>
  </r>
  <r>
    <d v="2025-02-12T00:00:00"/>
    <s v="Api"/>
    <s v="13664028"/>
    <x v="0"/>
    <s v="Logitech, Netgear Switch"/>
    <n v="126.64"/>
    <n v="150.7"/>
    <s v="X"/>
    <s v="Z"/>
    <s v="M"/>
    <m/>
    <m/>
    <m/>
    <m/>
    <x v="1"/>
    <x v="0"/>
    <n v="24.05999999999999"/>
    <x v="1"/>
  </r>
  <r>
    <d v="2025-02-12T00:00:00"/>
    <s v="Telekom"/>
    <s v="34 2586 4200 0551"/>
    <x v="1"/>
    <s v="Mobilfunk-Rechnung Sz"/>
    <n v="12.89"/>
    <n v="15.34"/>
    <s v="X"/>
    <s v="A"/>
    <s v="M"/>
    <m/>
    <m/>
    <m/>
    <m/>
    <x v="1"/>
    <x v="0"/>
    <n v="2.449999999999999"/>
    <x v="1"/>
  </r>
  <r>
    <d v="2025-02-14T00:00:00"/>
    <s v="Telekom"/>
    <s v="773 922 5863"/>
    <x v="1"/>
    <s v="Festnetz-Rechnung Schulze Februar"/>
    <n v="33.57"/>
    <n v="39.95"/>
    <s v="X"/>
    <s v="A"/>
    <s v="M"/>
    <m/>
    <m/>
    <m/>
    <m/>
    <x v="1"/>
    <x v="0"/>
    <n v="6.380000000000003"/>
    <x v="1"/>
  </r>
  <r>
    <d v="2025-02-14T00:00:00"/>
    <s v="Blau"/>
    <s v="RG 1192015783/08"/>
    <x v="1"/>
    <s v="Faszl Mobil Februar"/>
    <n v="6.71"/>
    <n v="7.99"/>
    <s v="X"/>
    <s v="A"/>
    <s v="M"/>
    <m/>
    <m/>
    <m/>
    <m/>
    <x v="1"/>
    <x v="0"/>
    <n v="1.28"/>
    <x v="1"/>
  </r>
  <r>
    <d v="2025-02-15T00:00:00"/>
    <s v="wolkesicher"/>
    <s v="378815"/>
    <x v="1"/>
    <s v="Premium Silber (C) - uhde.wolkesicher.de"/>
    <n v="4.19"/>
    <n v="4.99"/>
    <s v="X"/>
    <s v="A"/>
    <s v="M"/>
    <m/>
    <m/>
    <m/>
    <m/>
    <x v="1"/>
    <x v="0"/>
    <n v="0.7999999999999998"/>
    <x v="1"/>
  </r>
  <r>
    <d v="2025-02-14T00:00:00"/>
    <s v="Infinigate"/>
    <s v="PSI-23269998"/>
    <x v="0"/>
    <s v="WatchGuard (GML)"/>
    <n v="250.02"/>
    <n v="297.52"/>
    <s v="X"/>
    <s v="Z"/>
    <s v="M"/>
    <m/>
    <m/>
    <m/>
    <m/>
    <x v="1"/>
    <x v="0"/>
    <n v="47.49999999999997"/>
    <x v="1"/>
  </r>
  <r>
    <d v="2025-02-15T00:00:00"/>
    <s v="PSW"/>
    <s v="RG12505388"/>
    <x v="0"/>
    <s v="Sectigo Lite (PositiveSSL) (GML)"/>
    <n v="13.61"/>
    <n v="16.2"/>
    <s v="X"/>
    <s v="A"/>
    <s v="M"/>
    <m/>
    <m/>
    <m/>
    <m/>
    <x v="1"/>
    <x v="0"/>
    <n v="2.59"/>
    <x v="1"/>
  </r>
  <r>
    <d v="2025-02-17T00:00:00"/>
    <s v="GEZ"/>
    <s v="Q1/2025"/>
    <x v="1"/>
    <s v="Rundfunkbeitrag "/>
    <n v="91.8"/>
    <n v="91.8"/>
    <s v="X"/>
    <s v="A"/>
    <s v="M"/>
    <m/>
    <m/>
    <m/>
    <m/>
    <x v="1"/>
    <x v="0"/>
    <n v="0"/>
    <x v="0"/>
  </r>
  <r>
    <d v="2025-02-17T00:00:00"/>
    <s v="Microsoft"/>
    <s v="G078957663"/>
    <x v="0"/>
    <s v="Microsoft MCPP Subskription bis 17.02.2026"/>
    <n v="322.8"/>
    <n v="384.13"/>
    <s v="X"/>
    <s v="A"/>
    <s v="M"/>
    <m/>
    <m/>
    <m/>
    <s v="FX"/>
    <x v="1"/>
    <x v="0"/>
    <n v="61.32999999999998"/>
    <x v="1"/>
  </r>
  <r>
    <d v="2025-02-17T00:00:00"/>
    <s v="Infinigate"/>
    <s v="PSCM-23007472"/>
    <x v="0"/>
    <s v="Gutschrift zu RG PSI-23269998"/>
    <n v="-250.02"/>
    <n v="-297.52"/>
    <s v="X"/>
    <s v="Z"/>
    <s v="M"/>
    <m/>
    <m/>
    <m/>
    <m/>
    <x v="1"/>
    <x v="0"/>
    <n v="-47.49999999999997"/>
    <x v="1"/>
  </r>
  <r>
    <d v="2025-02-17T00:00:00"/>
    <s v="Infinigate"/>
    <s v="PSI-23270184"/>
    <x v="0"/>
    <s v="Rechnungskorrektur zu RG PSI-23269998"/>
    <n v="250.02"/>
    <n v="297.52"/>
    <s v="X"/>
    <s v="Z"/>
    <s v="M"/>
    <m/>
    <m/>
    <m/>
    <m/>
    <x v="1"/>
    <x v="0"/>
    <n v="47.49999999999997"/>
    <x v="1"/>
  </r>
  <r>
    <d v="2025-02-18T00:00:00"/>
    <s v="Vendosoft"/>
    <s v="RG-1-2025-0853"/>
    <x v="0"/>
    <s v="Microsoft Office 2024 Professional Plus gebraucht (GZI)"/>
    <n v="1545"/>
    <n v="1838.55"/>
    <s v="X"/>
    <s v="Z"/>
    <s v="M"/>
    <m/>
    <m/>
    <m/>
    <m/>
    <x v="1"/>
    <x v="0"/>
    <n v="293.55"/>
    <x v="1"/>
  </r>
  <r>
    <d v="2025-02-18T00:00:00"/>
    <s v="IHK "/>
    <s v="3036315600259"/>
    <x v="1"/>
    <s v="Beitragsbescheid 2025"/>
    <n v="161.04"/>
    <n v="161.04"/>
    <s v="X"/>
    <s v="Z"/>
    <s v="M"/>
    <m/>
    <m/>
    <m/>
    <m/>
    <x v="1"/>
    <x v="0"/>
    <n v="0"/>
    <x v="0"/>
  </r>
  <r>
    <d v="2025-02-19T00:00:00"/>
    <s v="Telekom"/>
    <s v="774 203 6574"/>
    <x v="1"/>
    <s v="Festnetz-Rechnung Faszl Februar"/>
    <n v="37.77"/>
    <n v="44.95"/>
    <s v="X"/>
    <s v="A"/>
    <s v="M"/>
    <m/>
    <m/>
    <m/>
    <m/>
    <x v="1"/>
    <x v="0"/>
    <n v="7.18"/>
    <x v="1"/>
  </r>
  <r>
    <d v="2025-02-19T00:00:00"/>
    <s v="Vendosoft"/>
    <s v="RG-1-2025-0873"/>
    <x v="0"/>
    <s v="Microsoft Windows 10 Enterprise (Wfb)"/>
    <n v="190"/>
    <n v="226.1"/>
    <s v="X"/>
    <s v="Z"/>
    <s v="M"/>
    <m/>
    <m/>
    <m/>
    <m/>
    <x v="1"/>
    <x v="0"/>
    <n v="36.09999999999999"/>
    <x v="1"/>
  </r>
  <r>
    <d v="2025-02-19T00:00:00"/>
    <s v="Infinigate"/>
    <s v="PSI-23271422"/>
    <x v="0"/>
    <s v="Trellix (GZI)"/>
    <n v="289.95"/>
    <n v="345.04"/>
    <s v="X"/>
    <s v="Z"/>
    <s v="M"/>
    <m/>
    <m/>
    <m/>
    <m/>
    <x v="1"/>
    <x v="0"/>
    <n v="55.09000000000003"/>
    <x v="1"/>
  </r>
  <r>
    <d v="2025-02-19T00:00:00"/>
    <s v="Macle"/>
    <s v="511225"/>
    <x v="0"/>
    <s v="HP Z1 G9 TOWER (FED)"/>
    <n v="2850"/>
    <n v="3391.5"/>
    <s v="X"/>
    <s v="Z"/>
    <s v="M"/>
    <m/>
    <m/>
    <m/>
    <m/>
    <x v="1"/>
    <x v="0"/>
    <n v="541.5"/>
    <x v="1"/>
  </r>
  <r>
    <d v="2025-02-15T00:00:00"/>
    <s v="DKV"/>
    <s v="25/641972981/001"/>
    <x v="1"/>
    <s v="Abrechnung"/>
    <n v="142.07"/>
    <n v="169.06"/>
    <s v="X"/>
    <s v="A"/>
    <s v="M"/>
    <m/>
    <m/>
    <m/>
    <m/>
    <x v="1"/>
    <x v="0"/>
    <n v="26.99000000000001"/>
    <x v="1"/>
  </r>
  <r>
    <d v="2025-02-24T00:00:00"/>
    <s v="Four Js"/>
    <s v="SI000656"/>
    <x v="0"/>
    <s v="Genero Runtime (Hes)"/>
    <n v="297.02"/>
    <n v="297.02"/>
    <s v="X"/>
    <s v="Z"/>
    <s v="M"/>
    <m/>
    <m/>
    <m/>
    <m/>
    <x v="1"/>
    <x v="0"/>
    <n v="0"/>
    <x v="0"/>
  </r>
  <r>
    <d v="2025-02-26T00:00:00"/>
    <s v="Telekom"/>
    <s v="774 600 6516"/>
    <x v="1"/>
    <s v="Festnetz-Rechnung Geschäftskunden März"/>
    <n v="39.9"/>
    <n v="47.48"/>
    <s v="X"/>
    <s v="A"/>
    <s v="M"/>
    <m/>
    <m/>
    <m/>
    <m/>
    <x v="1"/>
    <x v="0"/>
    <n v="7.579999999999998"/>
    <x v="1"/>
  </r>
  <r>
    <d v="2025-02-27T00:00:00"/>
    <s v="Vendosoft"/>
    <s v="RG-1-2025-0970"/>
    <x v="0"/>
    <s v="Microsoft Office 2021 Standard gebraucht (FED)"/>
    <n v="316"/>
    <n v="376.04"/>
    <s v="X"/>
    <s v="Z"/>
    <s v="M"/>
    <m/>
    <m/>
    <m/>
    <m/>
    <x v="1"/>
    <x v="0"/>
    <n v="60.04000000000002"/>
    <x v="1"/>
  </r>
  <r>
    <d v="2025-02-27T00:00:00"/>
    <s v="DHL"/>
    <s v="DOF-0040115379"/>
    <x v="0"/>
    <s v="Paket BLKTBL107 Zurück an BLK"/>
    <n v="6.19"/>
    <n v="6.19"/>
    <s v="X"/>
    <s v="A"/>
    <s v="M"/>
    <m/>
    <m/>
    <m/>
    <m/>
    <x v="1"/>
    <x v="0"/>
    <n v="0"/>
    <x v="0"/>
  </r>
  <r>
    <d v="2025-02-28T00:00:00"/>
    <s v="DTS "/>
    <s v="25-13-060169"/>
    <x v="1"/>
    <s v="Centrexx3 Februar"/>
    <n v="2.13"/>
    <n v="2.53"/>
    <s v="X"/>
    <s v="A"/>
    <s v="M"/>
    <m/>
    <m/>
    <m/>
    <m/>
    <x v="1"/>
    <x v="0"/>
    <n v="0.3999999999999999"/>
    <x v="1"/>
  </r>
  <r>
    <d v="2025-02-28T00:00:00"/>
    <s v="DKV"/>
    <s v="25-642307164-001"/>
    <x v="1"/>
    <s v="Abrechnung Feburar "/>
    <n v="157.98"/>
    <n v="188"/>
    <s v="X"/>
    <s v="A"/>
    <s v="M"/>
    <m/>
    <m/>
    <m/>
    <m/>
    <x v="1"/>
    <x v="0"/>
    <n v="30.02000000000001"/>
    <x v="1"/>
  </r>
  <r>
    <d v="2025-02-28T00:00:00"/>
    <s v="Kai Hofheinz"/>
    <s v="RG 2025-101"/>
    <x v="1"/>
    <s v="Gem. Schreiben vom 28.02.2025"/>
    <n v="150"/>
    <n v="150"/>
    <s v="X"/>
    <s v="A"/>
    <s v="M"/>
    <m/>
    <m/>
    <m/>
    <s v="FX"/>
    <x v="1"/>
    <x v="0"/>
    <n v="0"/>
    <x v="0"/>
  </r>
  <r>
    <d v="2025-02-28T00:00:00"/>
    <s v="Nextcloud"/>
    <s v="RG 2025-00149"/>
    <x v="0"/>
    <s v="Nextcloud Wartung 1 Jahr GML"/>
    <n v="2890"/>
    <n v="3439.1"/>
    <s v="X"/>
    <s v="Z"/>
    <s v="M"/>
    <m/>
    <m/>
    <m/>
    <m/>
    <x v="1"/>
    <x v="0"/>
    <n v="549.0999999999999"/>
    <x v="1"/>
  </r>
  <r>
    <d v="2025-03-01T00:00:00"/>
    <s v="VW Leasing"/>
    <s v="R10238706339"/>
    <x v="1"/>
    <s v="Service-Rate 03.2025"/>
    <n v="37.43"/>
    <n v="44.54"/>
    <s v="X"/>
    <s v="A"/>
    <s v="M"/>
    <m/>
    <m/>
    <m/>
    <m/>
    <x v="2"/>
    <x v="0"/>
    <n v="7.109999999999999"/>
    <x v="1"/>
  </r>
  <r>
    <d v="2025-03-03T00:00:00"/>
    <s v="Haus&amp;Grund"/>
    <s v="Miete 03/2025"/>
    <x v="1"/>
    <s v="Miete"/>
    <n v="225"/>
    <n v="225"/>
    <s v="X"/>
    <s v="D"/>
    <s v="M"/>
    <m/>
    <m/>
    <m/>
    <m/>
    <x v="2"/>
    <x v="0"/>
    <n v="0"/>
    <x v="0"/>
  </r>
  <r>
    <d v="2025-03-04T00:00:00"/>
    <s v="PSW Group"/>
    <s v="RG12507140"/>
    <x v="0"/>
    <s v="Sectigo New Silver (InstantSSL) FED"/>
    <n v="75.63"/>
    <n v="90"/>
    <s v="X"/>
    <s v="A"/>
    <s v="M"/>
    <m/>
    <m/>
    <m/>
    <m/>
    <x v="2"/>
    <x v="0"/>
    <n v="14.37"/>
    <x v="1"/>
  </r>
  <r>
    <d v="2025-03-22T00:00:00"/>
    <s v="MCPaper"/>
    <s v="R83575"/>
    <x v="1"/>
    <s v="Abschiedskarte Frau DeLuca"/>
    <n v="2.51"/>
    <n v="2.99"/>
    <s v="X"/>
    <s v="A"/>
    <s v="M"/>
    <m/>
    <m/>
    <m/>
    <s v="FX"/>
    <x v="2"/>
    <x v="0"/>
    <n v="0.4800000000000004"/>
    <x v="1"/>
  </r>
  <r>
    <d v="2025-02-28T00:00:00"/>
    <s v="DTS "/>
    <s v="R11520805"/>
    <x v="1"/>
    <s v="SIP Tk-Anlage CentrexX"/>
    <n v="33.54"/>
    <n v="39.91"/>
    <s v="X"/>
    <s v="Z"/>
    <s v="M"/>
    <m/>
    <m/>
    <m/>
    <m/>
    <x v="1"/>
    <x v="0"/>
    <n v="6.369999999999997"/>
    <x v="1"/>
  </r>
  <r>
    <d v="2025-03-05T00:00:00"/>
    <s v="API"/>
    <s v="13731318"/>
    <x v="0"/>
    <s v="Lexware buchhaltung plus Renewal Download (VEH)"/>
    <n v="250.82"/>
    <n v="298.48"/>
    <s v="X"/>
    <s v="A"/>
    <s v="M"/>
    <m/>
    <m/>
    <m/>
    <m/>
    <x v="2"/>
    <x v="0"/>
    <n v="47.66000000000003"/>
    <x v="1"/>
  </r>
  <r>
    <d v="2025-03-06T00:00:00"/>
    <s v="Elovade Ebertlang"/>
    <s v="1132888"/>
    <x v="0"/>
    <s v="Mailstore Lizenz WFB 60 User"/>
    <n v="243.6"/>
    <n v="289.88"/>
    <s v="X"/>
    <s v="A"/>
    <s v="M"/>
    <m/>
    <m/>
    <m/>
    <m/>
    <x v="2"/>
    <x v="0"/>
    <n v="46.28"/>
    <x v="1"/>
  </r>
  <r>
    <d v="2025-03-10T00:00:00"/>
    <s v="Ratiokontakt"/>
    <s v="R10870827"/>
    <x v="0"/>
    <s v="Ratiokontakt bis 16.03.2025"/>
    <n v="72.62"/>
    <n v="86.42"/>
    <s v="X"/>
    <s v="Z"/>
    <s v="M"/>
    <m/>
    <m/>
    <m/>
    <m/>
    <x v="2"/>
    <x v="0"/>
    <n v="13.8"/>
    <x v="1"/>
  </r>
  <r>
    <d v="2025-03-10T00:00:00"/>
    <s v="Wortmann"/>
    <s v="DR8521545"/>
    <x v="0"/>
    <s v="Terra-Cloud Backup"/>
    <n v="9.9"/>
    <n v="11.78"/>
    <s v="X"/>
    <s v="Z"/>
    <s v="M"/>
    <m/>
    <m/>
    <m/>
    <m/>
    <x v="2"/>
    <x v="0"/>
    <n v="1.879999999999999"/>
    <x v="1"/>
  </r>
  <r>
    <d v="2025-03-06T00:00:00"/>
    <s v="TWL"/>
    <s v="RG300001549567"/>
    <x v="1"/>
    <s v="Schlussrechnung Gutschrift"/>
    <n v="-281.34"/>
    <n v="-334.79"/>
    <s v="X"/>
    <s v="A"/>
    <s v="M"/>
    <m/>
    <m/>
    <m/>
    <m/>
    <x v="2"/>
    <x v="0"/>
    <n v="-53.45000000000005"/>
    <x v="1"/>
  </r>
  <r>
    <d v="2025-03-11T00:00:00"/>
    <s v="Elovade Ebertlang"/>
    <s v="R1132448"/>
    <x v="0"/>
    <s v="Mailstore Lizenz HAU 10 User 2 Jahre "/>
    <n v="140.4"/>
    <n v="167.08"/>
    <s v="X"/>
    <s v="A"/>
    <s v="M"/>
    <m/>
    <m/>
    <m/>
    <m/>
    <x v="2"/>
    <x v="0"/>
    <n v="26.68000000000001"/>
    <x v="1"/>
  </r>
  <r>
    <d v="2025-03-12T00:00:00"/>
    <s v="Sage"/>
    <s v="2025-1137542"/>
    <x v="1"/>
    <s v="Sage Business Cloud Lohnabrechnung"/>
    <n v="33.35"/>
    <n v="39.69"/>
    <s v="X"/>
    <s v="A"/>
    <s v="M"/>
    <m/>
    <m/>
    <m/>
    <m/>
    <x v="2"/>
    <x v="0"/>
    <n v="6.339999999999996"/>
    <x v="1"/>
  </r>
  <r>
    <d v="2025-03-12T00:00:00"/>
    <s v="Telekom"/>
    <s v="RG 34370597000551"/>
    <x v="1"/>
    <s v="Schulze mobil Februar"/>
    <n v="12.89"/>
    <n v="15.34"/>
    <s v="X"/>
    <s v="A"/>
    <s v="M"/>
    <m/>
    <m/>
    <m/>
    <m/>
    <x v="2"/>
    <x v="0"/>
    <n v="2.449999999999999"/>
    <x v="1"/>
  </r>
  <r>
    <d v="2025-03-17T00:00:00"/>
    <s v="Telekom"/>
    <s v="RG 7755615146"/>
    <x v="1"/>
    <s v="Schulze  März"/>
    <n v="33.57"/>
    <n v="39.95"/>
    <s v="X"/>
    <s v="A"/>
    <s v="M"/>
    <m/>
    <m/>
    <m/>
    <m/>
    <x v="2"/>
    <x v="0"/>
    <n v="6.380000000000003"/>
    <x v="1"/>
  </r>
  <r>
    <d v="2025-03-18T00:00:00"/>
    <s v="wolkesicher"/>
    <n v="381122"/>
    <x v="1"/>
    <s v="Premium Silber (C) - uhde.wolkesicher.de "/>
    <n v="4.19"/>
    <n v="4.99"/>
    <s v="X"/>
    <s v="A"/>
    <s v="M"/>
    <m/>
    <m/>
    <m/>
    <m/>
    <x v="2"/>
    <x v="0"/>
    <n v="0.7999999999999998"/>
    <x v="1"/>
  </r>
  <r>
    <d v="2025-03-17T00:00:00"/>
    <s v="Jacob Elektronik"/>
    <s v="SRE9977150"/>
    <x v="0"/>
    <s v="OKI Tonerpatrone (Bemer)"/>
    <n v="171.76"/>
    <n v="204.39"/>
    <s v="X"/>
    <s v="Z"/>
    <s v="M"/>
    <m/>
    <m/>
    <m/>
    <m/>
    <x v="2"/>
    <x v="0"/>
    <n v="32.63"/>
    <x v="1"/>
  </r>
  <r>
    <d v="2025-03-18T00:00:00"/>
    <s v="Systeam"/>
    <s v="50127281"/>
    <x v="0"/>
    <s v="HP Dockingstation (GZI)"/>
    <n v="206.2"/>
    <n v="245.38"/>
    <s v="X"/>
    <s v="Z"/>
    <s v="M"/>
    <m/>
    <m/>
    <m/>
    <m/>
    <x v="2"/>
    <x v="0"/>
    <n v="39.18000000000001"/>
    <x v="1"/>
  </r>
  <r>
    <d v="2025-03-19T00:00:00"/>
    <s v="Systeam"/>
    <s v="50128767"/>
    <x v="0"/>
    <s v="UBIQUITISwitch (Mut)"/>
    <n v="353.69"/>
    <n v="420.89"/>
    <s v="X"/>
    <s v="Z"/>
    <s v="M"/>
    <m/>
    <m/>
    <m/>
    <m/>
    <x v="2"/>
    <x v="0"/>
    <n v="67.19999999999999"/>
    <x v="1"/>
  </r>
  <r>
    <d v="2025-01-13T00:00:00"/>
    <s v="Heise"/>
    <s v="2503980312903"/>
    <x v="1"/>
    <s v="c't digital"/>
    <n v="143.36"/>
    <n v="153.4"/>
    <s v="X"/>
    <s v="Z"/>
    <s v="M"/>
    <m/>
    <m/>
    <m/>
    <m/>
    <x v="0"/>
    <x v="0"/>
    <n v="10.03999999999999"/>
    <x v="2"/>
  </r>
  <r>
    <d v="2025-03-19T00:00:00"/>
    <s v="ALSO"/>
    <s v="973932209"/>
    <x v="0"/>
    <s v="LENOVO ThinkPad E16 (GV Mut)"/>
    <n v="1356.84"/>
    <n v="1614.64"/>
    <s v="X"/>
    <s v="Z"/>
    <s v="M"/>
    <m/>
    <m/>
    <m/>
    <m/>
    <x v="2"/>
    <x v="0"/>
    <n v="257.8000000000002"/>
    <x v="1"/>
  </r>
  <r>
    <d v="2025-03-20T00:00:00"/>
    <s v="Telekom"/>
    <s v="775 854 5797"/>
    <x v="1"/>
    <s v="Festnetz Faszl"/>
    <n v="37.77"/>
    <n v="44.95"/>
    <s v="X"/>
    <s v="A"/>
    <s v="M"/>
    <m/>
    <m/>
    <m/>
    <m/>
    <x v="2"/>
    <x v="0"/>
    <n v="7.18"/>
    <x v="1"/>
  </r>
  <r>
    <d v="2025-03-20T00:00:00"/>
    <s v="Systeam"/>
    <s v="50131228"/>
    <x v="0"/>
    <s v="UBIQUITIAPBE9300 (GV Mut)"/>
    <n v="508.01"/>
    <n v="604.53"/>
    <s v="X"/>
    <s v="Z"/>
    <s v="M"/>
    <m/>
    <m/>
    <m/>
    <m/>
    <x v="2"/>
    <x v="0"/>
    <n v="96.51999999999998"/>
    <x v="1"/>
  </r>
  <r>
    <d v="2025-03-20T00:00:00"/>
    <s v="Jacob Elektronik"/>
    <s v="SRE9985143"/>
    <x v="0"/>
    <s v="HP EliteBook 860 G11 (GZI)"/>
    <n v="1133.08"/>
    <n v="1348.37"/>
    <s v="X"/>
    <s v="Z"/>
    <s v="M"/>
    <m/>
    <m/>
    <m/>
    <m/>
    <x v="2"/>
    <x v="0"/>
    <n v="215.29"/>
    <x v="1"/>
  </r>
  <r>
    <d v="2025-03-15T00:00:00"/>
    <s v="DKV"/>
    <s v="25/642569330/001"/>
    <x v="1"/>
    <s v="März"/>
    <n v="64.22"/>
    <n v="76.42"/>
    <s v="X"/>
    <s v="A"/>
    <s v="M"/>
    <m/>
    <m/>
    <m/>
    <m/>
    <x v="2"/>
    <x v="0"/>
    <n v="12.2"/>
    <x v="1"/>
  </r>
  <r>
    <d v="2025-03-25T00:00:00"/>
    <s v="Elovade Ebertlang"/>
    <s v="1135474"/>
    <x v="0"/>
    <s v="MailStore-Lizenzen (VG Enkenbach-Alsenborn)"/>
    <n v="2071.5"/>
    <n v="2465.09"/>
    <s v="X"/>
    <s v="A"/>
    <s v="M"/>
    <m/>
    <m/>
    <m/>
    <m/>
    <x v="2"/>
    <x v="0"/>
    <n v="393.5900000000001"/>
    <x v="1"/>
  </r>
  <r>
    <d v="2025-03-27T00:00:00"/>
    <s v="Telekom"/>
    <s v="776 232 4106"/>
    <x v="1"/>
    <s v="Festnetz Büro April"/>
    <n v="39.9"/>
    <n v="47.48"/>
    <s v="X"/>
    <s v="A"/>
    <s v="M"/>
    <m/>
    <m/>
    <m/>
    <m/>
    <x v="2"/>
    <x v="0"/>
    <n v="7.579999999999998"/>
    <x v="1"/>
  </r>
  <r>
    <d v="2025-03-31T00:00:00"/>
    <s v="Blumen Skorbene"/>
    <m/>
    <x v="2"/>
    <s v="Abschliedstrauss Frau DeLuca"/>
    <n v="28.04"/>
    <n v="30"/>
    <s v="X"/>
    <s v="A"/>
    <s v="M"/>
    <m/>
    <m/>
    <m/>
    <s v="FX"/>
    <x v="2"/>
    <x v="0"/>
    <n v="1.960000000000001"/>
    <x v="2"/>
  </r>
  <r>
    <d v="2025-03-31T00:00:00"/>
    <s v="ALSO"/>
    <s v="R974051248"/>
    <x v="0"/>
    <s v="Office 365 MUT"/>
    <n v="111.82"/>
    <n v="133.07"/>
    <s v="X"/>
    <s v="Z"/>
    <s v="M"/>
    <m/>
    <m/>
    <m/>
    <m/>
    <x v="2"/>
    <x v="0"/>
    <n v="21.25"/>
    <x v="1"/>
  </r>
  <r>
    <d v="2025-03-31T00:00:00"/>
    <s v="ALSO"/>
    <s v="R974051249"/>
    <x v="0"/>
    <s v="Office 365 VEH"/>
    <n v="700.88"/>
    <n v="834.05"/>
    <s v="X"/>
    <s v="Z"/>
    <s v="M"/>
    <m/>
    <m/>
    <m/>
    <m/>
    <x v="2"/>
    <x v="0"/>
    <n v="133.17"/>
    <x v="1"/>
  </r>
  <r>
    <d v="2025-03-31T00:00:00"/>
    <s v="DTS NFON"/>
    <s v="25-13-064781"/>
    <x v="1"/>
    <s v="Centrexx3 03/2025"/>
    <n v="3.01"/>
    <n v="3.59"/>
    <s v="X"/>
    <s v="A"/>
    <s v="M"/>
    <m/>
    <m/>
    <m/>
    <m/>
    <x v="2"/>
    <x v="0"/>
    <n v="0.5800000000000001"/>
    <x v="1"/>
  </r>
  <r>
    <d v="2025-03-31T00:00:00"/>
    <s v="DTS"/>
    <s v="R11537749"/>
    <x v="1"/>
    <s v="Centrrexx2 03/2025"/>
    <n v="28.07"/>
    <n v="33.4"/>
    <s v="X"/>
    <s v="A"/>
    <s v="M"/>
    <m/>
    <m/>
    <m/>
    <m/>
    <x v="2"/>
    <x v="0"/>
    <n v="5.329999999999998"/>
    <x v="1"/>
  </r>
  <r>
    <d v="2025-03-31T00:00:00"/>
    <s v="DKV"/>
    <s v="25/642869272/001"/>
    <x v="1"/>
    <s v="Tanken "/>
    <n v="161.59"/>
    <n v="192.29"/>
    <s v="X"/>
    <s v="A"/>
    <s v="M"/>
    <m/>
    <m/>
    <m/>
    <m/>
    <x v="2"/>
    <x v="0"/>
    <n v="30.69999999999999"/>
    <x v="1"/>
  </r>
  <r>
    <d v="2025-04-01T00:00:00"/>
    <s v="VW Leasing"/>
    <s v="R10241671791"/>
    <x v="1"/>
    <s v="Service-Rate 04.2025"/>
    <n v="37.43"/>
    <n v="44.54"/>
    <s v="X"/>
    <s v="A"/>
    <s v="M"/>
    <m/>
    <m/>
    <m/>
    <m/>
    <x v="3"/>
    <x v="0"/>
    <n v="7.109999999999999"/>
    <x v="1"/>
  </r>
  <r>
    <d v="2025-04-02T00:00:00"/>
    <s v="Haus&amp;Grund"/>
    <s v="Miete 04/2025"/>
    <x v="1"/>
    <s v="Miete"/>
    <n v="225"/>
    <n v="225"/>
    <s v="X"/>
    <s v="D"/>
    <s v="M"/>
    <m/>
    <m/>
    <m/>
    <m/>
    <x v="3"/>
    <x v="0"/>
    <n v="0"/>
    <x v="0"/>
  </r>
  <r>
    <d v="2025-04-03T00:00:00"/>
    <s v="Elovade Ebertlang"/>
    <s v="R1141423"/>
    <x v="0"/>
    <s v="Mailstore 50 User Liz ENK bis 01.12.2027"/>
    <n v="1122"/>
    <n v="1335.18"/>
    <s v="X"/>
    <s v="A"/>
    <s v="M"/>
    <m/>
    <m/>
    <m/>
    <m/>
    <x v="3"/>
    <x v="0"/>
    <n v="213.1800000000001"/>
    <x v="1"/>
  </r>
  <r>
    <d v="2025-04-03T00:00:00"/>
    <s v="Mixavox"/>
    <s v="YqdTEJtRQaifsRg1wNES"/>
    <x v="2"/>
    <s v="MP3-Datei für Centrexx3"/>
    <n v="7"/>
    <n v="7"/>
    <s v="X"/>
    <s v="A"/>
    <s v="M"/>
    <m/>
    <m/>
    <m/>
    <m/>
    <x v="3"/>
    <x v="0"/>
    <n v="0"/>
    <x v="0"/>
  </r>
  <r>
    <d v="2025-04-03T00:00:00"/>
    <s v="Mixavox"/>
    <s v="i6PLDhGxaeoLIRK5AukF"/>
    <x v="2"/>
    <s v="MP3-Datei für Centrexx3"/>
    <n v="7"/>
    <n v="7"/>
    <s v="X"/>
    <s v="A"/>
    <s v="M"/>
    <m/>
    <m/>
    <m/>
    <m/>
    <x v="3"/>
    <x v="0"/>
    <n v="0"/>
    <x v="0"/>
  </r>
  <r>
    <d v="2025-04-07T00:00:00"/>
    <s v="Wortmann"/>
    <s v="DR8577258"/>
    <x v="0"/>
    <s v="Carbonite Backup VEH März"/>
    <n v="9.9"/>
    <n v="11.78"/>
    <s v="X"/>
    <s v="Z"/>
    <s v="M"/>
    <m/>
    <m/>
    <m/>
    <m/>
    <x v="3"/>
    <x v="0"/>
    <n v="1.879999999999999"/>
    <x v="1"/>
  </r>
  <r>
    <d v="2025-04-08T00:00:00"/>
    <s v="Sage"/>
    <s v="2025-1159858"/>
    <x v="1"/>
    <s v="Sage Business Cloud Lohnabrechnung &lt;=5 MA"/>
    <n v="27.2"/>
    <n v="32.37"/>
    <s v="X"/>
    <s v="A"/>
    <s v="M"/>
    <m/>
    <m/>
    <m/>
    <m/>
    <x v="3"/>
    <x v="0"/>
    <n v="5.169999999999998"/>
    <x v="1"/>
  </r>
  <r>
    <d v="2025-04-08T00:00:00"/>
    <s v="API"/>
    <s v="R13841863"/>
    <x v="0"/>
    <s v="Lexware business plus "/>
    <n v="331.73"/>
    <n v="394.76"/>
    <s v="X"/>
    <s v="Z"/>
    <s v="M"/>
    <m/>
    <m/>
    <m/>
    <m/>
    <x v="3"/>
    <x v="0"/>
    <n v="63.02999999999997"/>
    <x v="1"/>
  </r>
  <r>
    <d v="2025-04-10T00:00:00"/>
    <s v="Hetzner"/>
    <s v="R084000231227"/>
    <x v="0"/>
    <s v="FTP-Speicher GML 02-03/2025"/>
    <n v="6.38"/>
    <n v="7.6"/>
    <s v="X"/>
    <s v="A"/>
    <s v="M"/>
    <m/>
    <m/>
    <m/>
    <m/>
    <x v="3"/>
    <x v="0"/>
    <n v="1.22"/>
    <x v="1"/>
  </r>
  <r>
    <d v="2025-04-10T00:00:00"/>
    <s v="Ratiokontakt"/>
    <s v="R10873368"/>
    <x v="0"/>
    <s v="Resellerweb bis 16.04.2025"/>
    <n v="36.98"/>
    <n v="44.01"/>
    <s v="X"/>
    <s v="Z"/>
    <s v="M"/>
    <m/>
    <m/>
    <m/>
    <m/>
    <x v="3"/>
    <x v="0"/>
    <n v="7.030000000000001"/>
    <x v="1"/>
  </r>
  <r>
    <d v="2025-04-10T00:00:00"/>
    <s v="API"/>
    <s v="G8408094"/>
    <x v="0"/>
    <s v="Gutschrift zu Rechnung 13731318"/>
    <n v="-250.82"/>
    <n v="-298.48"/>
    <s v="X"/>
    <s v="Z"/>
    <s v="M"/>
    <m/>
    <m/>
    <m/>
    <m/>
    <x v="3"/>
    <x v="0"/>
    <n v="-47.66000000000003"/>
    <x v="1"/>
  </r>
  <r>
    <d v="2025-04-10T00:00:00"/>
    <s v="Telekom"/>
    <s v="34 4834 3800 0551"/>
    <x v="1"/>
    <s v="Schulze mobil März"/>
    <n v="12.56"/>
    <n v="14.95"/>
    <s v="X"/>
    <s v="Z"/>
    <s v="M"/>
    <m/>
    <m/>
    <m/>
    <m/>
    <x v="3"/>
    <x v="0"/>
    <n v="2.389999999999999"/>
    <x v="1"/>
  </r>
  <r>
    <d v="2025-03-10T00:00:00"/>
    <s v="Video4Net"/>
    <s v="RE-1017"/>
    <x v="1"/>
    <s v="Buchhaltung Januar/Februar"/>
    <n v="225"/>
    <n v="267.75"/>
    <s v="X"/>
    <s v="Z"/>
    <s v="M"/>
    <m/>
    <m/>
    <m/>
    <m/>
    <x v="2"/>
    <x v="0"/>
    <n v="42.75"/>
    <x v="1"/>
  </r>
  <r>
    <d v="2025-04-14T00:00:00"/>
    <s v="VBG"/>
    <s v="50170361 000000"/>
    <x v="1"/>
    <s v="Beitrag 2025/2026 Faszl"/>
    <n v="108.52"/>
    <n v="108.52"/>
    <s v="X"/>
    <s v="Z"/>
    <s v="M"/>
    <m/>
    <m/>
    <m/>
    <m/>
    <x v="3"/>
    <x v="0"/>
    <n v="0"/>
    <x v="0"/>
  </r>
  <r>
    <d v="2025-04-14T00:00:00"/>
    <s v="VBG"/>
    <s v="50111431 000000"/>
    <x v="1"/>
    <s v="Beitrag 2025/2026 Schulze"/>
    <n v="108.52"/>
    <n v="108.52"/>
    <s v="X"/>
    <s v="Z"/>
    <s v="M"/>
    <m/>
    <m/>
    <m/>
    <m/>
    <x v="3"/>
    <x v="0"/>
    <n v="0"/>
    <x v="0"/>
  </r>
  <r>
    <d v="2025-04-14T00:00:00"/>
    <s v="Telekom"/>
    <s v="777 207 7883"/>
    <x v="1"/>
    <s v="Schulze April"/>
    <n v="33.57"/>
    <n v="39.95"/>
    <s v="X"/>
    <s v="A"/>
    <s v="M"/>
    <m/>
    <m/>
    <m/>
    <m/>
    <x v="3"/>
    <x v="0"/>
    <n v="6.380000000000003"/>
    <x v="1"/>
  </r>
  <r>
    <d v="2025-04-24T00:00:00"/>
    <s v="Blau"/>
    <s v="1237166449/08"/>
    <x v="1"/>
    <s v="Faszl Mobil April"/>
    <n v="6.71"/>
    <n v="7.99"/>
    <s v="X"/>
    <s v="A"/>
    <s v="M"/>
    <m/>
    <m/>
    <m/>
    <m/>
    <x v="3"/>
    <x v="0"/>
    <n v="1.28"/>
    <x v="1"/>
  </r>
  <r>
    <d v="2025-04-09T00:00:00"/>
    <s v="API"/>
    <s v="RG 13848714 "/>
    <x v="0"/>
    <s v="Switch für BLK"/>
    <n v="1273.51"/>
    <n v="1515.48"/>
    <s v="X"/>
    <s v="Z"/>
    <s v="M"/>
    <m/>
    <m/>
    <m/>
    <m/>
    <x v="3"/>
    <x v="0"/>
    <n v="241.97"/>
    <x v="1"/>
  </r>
  <r>
    <d v="2025-04-16T00:00:00"/>
    <s v="VBG"/>
    <s v="1665 3615 6537 001"/>
    <x v="1"/>
    <s v="Bescheid 2024"/>
    <n v="78.73"/>
    <n v="78.73"/>
    <s v="X"/>
    <s v="Z"/>
    <s v="M"/>
    <m/>
    <m/>
    <m/>
    <m/>
    <x v="3"/>
    <x v="0"/>
    <n v="0"/>
    <x v="0"/>
  </r>
  <r>
    <d v="2025-04-17T00:00:00"/>
    <s v="Wolkesicher"/>
    <s v="R383561"/>
    <x v="1"/>
    <s v="nc2.uhde.de 05/2025"/>
    <n v="4.19"/>
    <n v="4.99"/>
    <s v="X"/>
    <s v="A"/>
    <s v="M"/>
    <m/>
    <m/>
    <m/>
    <m/>
    <x v="3"/>
    <x v="0"/>
    <n v="0.7999999999999998"/>
    <x v="1"/>
  </r>
  <r>
    <d v="2025-04-11T00:00:00"/>
    <s v="Jacob Elektronik"/>
    <s v="SRE10025142"/>
    <x v="0"/>
    <s v="Hardware Schulze"/>
    <n v="71.45"/>
    <n v="85.03"/>
    <s v="X"/>
    <s v="Z"/>
    <s v="M"/>
    <m/>
    <m/>
    <m/>
    <m/>
    <x v="3"/>
    <x v="0"/>
    <n v="13.58"/>
    <x v="1"/>
  </r>
  <r>
    <d v="2025-04-15T00:00:00"/>
    <s v="DKV"/>
    <s v="25/643227274/001"/>
    <x v="1"/>
    <s v="Abrechung 01/April"/>
    <n v="99.84999999999999"/>
    <n v="118.82"/>
    <s v="X"/>
    <s v="A"/>
    <s v="M"/>
    <m/>
    <m/>
    <m/>
    <m/>
    <x v="3"/>
    <x v="0"/>
    <n v="18.97"/>
    <x v="1"/>
  </r>
  <r>
    <d v="2025-04-17T00:00:00"/>
    <s v="Telekom"/>
    <s v="R7774951243"/>
    <x v="1"/>
    <s v="Faszl April"/>
    <n v="37.77"/>
    <n v="44.96"/>
    <s v="X"/>
    <s v="A"/>
    <s v="M"/>
    <m/>
    <m/>
    <m/>
    <m/>
    <x v="3"/>
    <x v="0"/>
    <n v="7.189999999999998"/>
    <x v="1"/>
  </r>
  <r>
    <d v="2025-04-23T00:00:00"/>
    <s v="PSW Group"/>
    <s v="RG12513006"/>
    <x v="0"/>
    <s v="SSL-Zertif. Mailings.gml-ludwigshafen.de"/>
    <n v="13.61"/>
    <n v="16.2"/>
    <s v="X"/>
    <s v="A"/>
    <s v="M"/>
    <m/>
    <m/>
    <m/>
    <m/>
    <x v="3"/>
    <x v="0"/>
    <n v="2.59"/>
    <x v="1"/>
  </r>
  <r>
    <d v="2025-04-25T00:00:00"/>
    <s v="Gandenberger"/>
    <s v="R110076351"/>
    <x v="1"/>
    <s v="Reifenwechsel LU UH 200"/>
    <n v="62.18"/>
    <n v="73.98999999999999"/>
    <s v="X"/>
    <s v="A"/>
    <s v="M"/>
    <m/>
    <m/>
    <m/>
    <m/>
    <x v="3"/>
    <x v="0"/>
    <n v="11.81"/>
    <x v="1"/>
  </r>
  <r>
    <d v="2025-04-28T00:00:00"/>
    <s v="Sage"/>
    <s v="RG 2025-1175013"/>
    <x v="1"/>
    <s v="HR-Cloud 2 MA Mai"/>
    <n v="15.5"/>
    <n v="18.45"/>
    <s v="X"/>
    <s v="A"/>
    <s v="M"/>
    <m/>
    <m/>
    <m/>
    <m/>
    <x v="3"/>
    <x v="0"/>
    <n v="2.949999999999999"/>
    <x v="1"/>
  </r>
  <r>
    <d v="2025-04-28T00:00:00"/>
    <s v="Telekom"/>
    <s v="RG 778721615"/>
    <x v="1"/>
    <s v="Büro LU Mai"/>
    <n v="39.9"/>
    <n v="47.48"/>
    <s v="X"/>
    <s v="A"/>
    <s v="M"/>
    <m/>
    <m/>
    <m/>
    <m/>
    <x v="3"/>
    <x v="0"/>
    <n v="7.579999999999998"/>
    <x v="1"/>
  </r>
  <r>
    <d v="2025-04-27T00:00:00"/>
    <s v="Video4Net"/>
    <s v="RE1039"/>
    <x v="1"/>
    <s v="Buchhaltung März"/>
    <n v="105"/>
    <n v="124.95"/>
    <s v="X"/>
    <s v="Z"/>
    <s v="M"/>
    <m/>
    <m/>
    <m/>
    <m/>
    <x v="3"/>
    <x v="0"/>
    <n v="19.95"/>
    <x v="1"/>
  </r>
  <r>
    <d v="2025-04-30T00:00:00"/>
    <s v="DTS NFON"/>
    <s v="25-13-069944"/>
    <x v="1"/>
    <s v="Centrexx3 April"/>
    <n v="32.58"/>
    <n v="38.77"/>
    <s v="X"/>
    <s v="A"/>
    <s v="M"/>
    <m/>
    <m/>
    <m/>
    <m/>
    <x v="3"/>
    <x v="0"/>
    <n v="6.190000000000005"/>
    <x v="1"/>
  </r>
  <r>
    <d v="2025-04-30T00:00:00"/>
    <s v="MH Bensheim"/>
    <s v="R0016704"/>
    <x v="1"/>
    <s v="Reifenwechsel LU UH 400"/>
    <n v="95.8"/>
    <n v="114"/>
    <s v="X"/>
    <s v="A"/>
    <s v="M"/>
    <m/>
    <m/>
    <m/>
    <m/>
    <x v="3"/>
    <x v="0"/>
    <n v="18.2"/>
    <x v="1"/>
  </r>
  <r>
    <d v="2025-04-30T00:00:00"/>
    <s v="DKV"/>
    <s v="25/643487179/001"/>
    <x v="1"/>
    <s v="April"/>
    <n v="109.56"/>
    <n v="130.38"/>
    <s v="X"/>
    <s v="A"/>
    <s v="M"/>
    <m/>
    <m/>
    <m/>
    <m/>
    <x v="3"/>
    <x v="0"/>
    <n v="20.81999999999999"/>
    <x v="1"/>
  </r>
  <r>
    <d v="2025-05-01T00:00:00"/>
    <s v="VW Leasing"/>
    <s v="RG20343141874 "/>
    <x v="1"/>
    <s v=" Rate 05/25"/>
    <n v="37.34"/>
    <n v="44.54"/>
    <s v="X"/>
    <s v="A"/>
    <s v="M"/>
    <m/>
    <m/>
    <m/>
    <m/>
    <x v="4"/>
    <x v="0"/>
    <n v="7.199999999999996"/>
    <x v="1"/>
  </r>
  <r>
    <d v="2025-05-02T00:00:00"/>
    <s v="Elovade Ebertlang"/>
    <s v="R1152599"/>
    <x v="0"/>
    <s v="Mailstore +50User bis 12.2027 ENK"/>
    <n v="1122"/>
    <n v="1335.18"/>
    <s v="X"/>
    <s v="A"/>
    <s v="M"/>
    <m/>
    <m/>
    <m/>
    <m/>
    <x v="4"/>
    <x v="0"/>
    <n v="213.1800000000001"/>
    <x v="1"/>
  </r>
  <r>
    <d v="2025-05-02T00:00:00"/>
    <s v="Haus&amp;Grund"/>
    <s v="Miete 05/2025"/>
    <x v="1"/>
    <s v="Miete"/>
    <n v="225"/>
    <n v="225"/>
    <s v="X"/>
    <s v="D"/>
    <s v="M"/>
    <m/>
    <m/>
    <m/>
    <m/>
    <x v="4"/>
    <x v="0"/>
    <n v="0"/>
    <x v="0"/>
  </r>
  <r>
    <d v="2025-05-05T00:00:00"/>
    <s v="OpenAI"/>
    <s v="7J06MMBJ-0001"/>
    <x v="1"/>
    <s v="Abr. 05.05.25 - 05.06.25 ,  20$"/>
    <n v="17.74"/>
    <n v="17.74"/>
    <s v="X"/>
    <s v="A"/>
    <s v="M"/>
    <m/>
    <m/>
    <m/>
    <s v="FX"/>
    <x v="4"/>
    <x v="0"/>
    <n v="0"/>
    <x v="0"/>
  </r>
  <r>
    <d v="2025-05-07T00:00:00"/>
    <s v="Wortmann"/>
    <s v="DR8625919 "/>
    <x v="0"/>
    <s v="Carbonite Backup VEH April"/>
    <n v="9.9"/>
    <n v="11.78"/>
    <s v="X"/>
    <s v="Z"/>
    <s v="M"/>
    <m/>
    <m/>
    <m/>
    <m/>
    <x v="4"/>
    <x v="0"/>
    <n v="1.879999999999999"/>
    <x v="1"/>
  </r>
  <r>
    <d v="2025-05-09T00:00:00"/>
    <s v="Sage"/>
    <s v="2025-1180618 "/>
    <x v="1"/>
    <s v="HR-Cloud 5 MA April"/>
    <n v="27.2"/>
    <n v="32.37"/>
    <s v="X"/>
    <s v="A"/>
    <s v="M"/>
    <m/>
    <m/>
    <m/>
    <m/>
    <x v="4"/>
    <x v="0"/>
    <n v="5.169999999999998"/>
    <x v="1"/>
  </r>
  <r>
    <d v="2025-05-09T00:00:00"/>
    <s v="Ratiokontakt"/>
    <s v="R10875864"/>
    <x v="0"/>
    <s v="Bis 16.05.2025"/>
    <n v="36.98"/>
    <n v="44.01"/>
    <s v="X"/>
    <s v="Z"/>
    <s v="M"/>
    <m/>
    <m/>
    <m/>
    <m/>
    <x v="4"/>
    <x v="0"/>
    <n v="7.030000000000001"/>
    <x v="1"/>
  </r>
  <r>
    <d v="2025-05-12T00:00:00"/>
    <s v="OfficePartner"/>
    <s v="R55327317"/>
    <x v="0"/>
    <s v="Brother MFC-L8690CDW  für VEH"/>
    <n v="461.34"/>
    <n v="548.99"/>
    <s v="X"/>
    <s v="Z"/>
    <s v="M"/>
    <m/>
    <m/>
    <m/>
    <m/>
    <x v="4"/>
    <x v="0"/>
    <n v="87.65000000000003"/>
    <x v="1"/>
  </r>
  <r>
    <d v="2025-05-13T00:00:00"/>
    <s v="Telekom"/>
    <s v="R34595701000551"/>
    <x v="1"/>
    <s v="Schulze mobil April"/>
    <n v="12.56"/>
    <n v="14.95"/>
    <s v="X"/>
    <s v="A"/>
    <s v="M"/>
    <m/>
    <m/>
    <m/>
    <m/>
    <x v="4"/>
    <x v="0"/>
    <n v="2.389999999999999"/>
    <x v="1"/>
  </r>
  <r>
    <d v="2025-05-14T00:00:00"/>
    <s v="Starbuero"/>
    <s v="SB2025-18378"/>
    <x v="1"/>
    <s v="Abrechnung April"/>
    <n v="29.31"/>
    <n v="34.88"/>
    <s v="X"/>
    <s v="Z"/>
    <s v="M"/>
    <m/>
    <m/>
    <m/>
    <m/>
    <x v="4"/>
    <x v="0"/>
    <n v="5.570000000000004"/>
    <x v="1"/>
  </r>
  <r>
    <d v="2025-05-15T00:00:00"/>
    <s v="GEZ"/>
    <s v="Q1/2025"/>
    <x v="1"/>
    <s v="Rundfunkbeitrag "/>
    <n v="91.8"/>
    <n v="91.8"/>
    <s v="X"/>
    <s v="A"/>
    <s v="M"/>
    <m/>
    <m/>
    <m/>
    <m/>
    <x v="4"/>
    <x v="0"/>
    <n v="0"/>
    <x v="0"/>
  </r>
  <r>
    <d v="2025-05-15T00:00:00"/>
    <s v="Telekom"/>
    <s v="R7788756166"/>
    <x v="1"/>
    <s v="Schulze Mai"/>
    <n v="33.57"/>
    <n v="39.95"/>
    <s v="X"/>
    <s v="A"/>
    <s v="M"/>
    <m/>
    <m/>
    <m/>
    <m/>
    <x v="4"/>
    <x v="0"/>
    <n v="6.380000000000003"/>
    <x v="1"/>
  </r>
  <r>
    <d v="2025-05-15T00:00:00"/>
    <s v="Blau"/>
    <s v="1260868407/08"/>
    <x v="1"/>
    <s v="Faszl Mai"/>
    <n v="6.71"/>
    <n v="7.99"/>
    <s v="X"/>
    <s v="A"/>
    <s v="M"/>
    <m/>
    <m/>
    <m/>
    <m/>
    <x v="4"/>
    <x v="0"/>
    <n v="1.28"/>
    <x v="1"/>
  </r>
  <r>
    <d v="2025-05-15T00:00:00"/>
    <s v="Wolkesicher"/>
    <s v="R386213"/>
    <x v="1"/>
    <s v="nc2.uhde.de 0&amp;/2025"/>
    <n v="4.19"/>
    <n v="4.99"/>
    <s v="X"/>
    <s v="A"/>
    <s v="M"/>
    <m/>
    <m/>
    <m/>
    <m/>
    <x v="4"/>
    <x v="0"/>
    <n v="0.7999999999999998"/>
    <x v="1"/>
  </r>
  <r>
    <d v="2025-05-15T00:00:00"/>
    <s v="DKV"/>
    <s v="25-643780998-001"/>
    <x v="1"/>
    <s v="Mail 2025"/>
    <n v="89.09999999999999"/>
    <n v="106.03"/>
    <s v="X"/>
    <s v="A"/>
    <s v="M"/>
    <m/>
    <m/>
    <m/>
    <m/>
    <x v="4"/>
    <x v="0"/>
    <n v="16.93000000000001"/>
    <x v="1"/>
  </r>
  <r>
    <d v="2025-05-19T00:00:00"/>
    <s v="Thomas-Krenn.AG"/>
    <s v="AR20253862 "/>
    <x v="0"/>
    <s v="SSDs WFB (Freigabe Sz)"/>
    <n v="391.38"/>
    <n v="465.75"/>
    <s v="X"/>
    <s v="Z"/>
    <s v="M"/>
    <m/>
    <m/>
    <m/>
    <m/>
    <x v="4"/>
    <x v="0"/>
    <n v="74.37"/>
    <x v="1"/>
  </r>
  <r>
    <d v="2025-05-20T00:00:00"/>
    <s v="Telekom"/>
    <s v="779 140 3886"/>
    <x v="1"/>
    <s v="Mai Faszl"/>
    <n v="37.77"/>
    <n v="44.95"/>
    <s v="X"/>
    <s v="A"/>
    <s v="M"/>
    <m/>
    <m/>
    <m/>
    <m/>
    <x v="4"/>
    <x v="0"/>
    <n v="7.18"/>
    <x v="1"/>
  </r>
  <r>
    <d v="2025-05-27T00:00:00"/>
    <s v="Telekom"/>
    <s v="779 533 3524"/>
    <x v="1"/>
    <s v="Juni LU"/>
    <n v="39.9"/>
    <n v="47.48"/>
    <s v="X"/>
    <s v="A"/>
    <s v="M"/>
    <m/>
    <m/>
    <m/>
    <m/>
    <x v="4"/>
    <x v="0"/>
    <n v="7.579999999999998"/>
    <x v="1"/>
  </r>
  <r>
    <d v="2025-05-27T00:00:00"/>
    <s v="Amazon"/>
    <s v="DE50012VSPGQ5I"/>
    <x v="0"/>
    <s v="McAfee 1Jahr 3PCs"/>
    <n v="9.66"/>
    <n v="11.5"/>
    <s v="X"/>
    <s v="Z"/>
    <s v="M"/>
    <m/>
    <m/>
    <m/>
    <m/>
    <x v="4"/>
    <x v="0"/>
    <n v="1.84"/>
    <x v="1"/>
  </r>
  <r>
    <d v="2025-05-29T00:00:00"/>
    <s v="TD-Synnex"/>
    <s v="R8271345461"/>
    <x v="0"/>
    <s v="Veeam-Lizenz"/>
    <n v="862.21"/>
    <n v="1026.03"/>
    <s v="X"/>
    <s v="Z"/>
    <s v="M"/>
    <m/>
    <m/>
    <m/>
    <m/>
    <x v="4"/>
    <x v="0"/>
    <n v="163.8199999999999"/>
    <x v="1"/>
  </r>
  <r>
    <d v="2025-05-31T00:00:00"/>
    <s v="DTS NFON"/>
    <s v="25-643780998-001"/>
    <x v="1"/>
    <s v="2025/05"/>
    <n v="36.24"/>
    <n v="43.13"/>
    <s v="X"/>
    <s v="A"/>
    <s v="M"/>
    <m/>
    <m/>
    <m/>
    <m/>
    <x v="4"/>
    <x v="0"/>
    <n v="6.890000000000001"/>
    <x v="1"/>
  </r>
  <r>
    <d v="2025-05-31T00:00:00"/>
    <s v="DKV"/>
    <s v="25-644107095-001"/>
    <x v="1"/>
    <d v="2025-05-01T00:00:00"/>
    <n v="83.70999999999999"/>
    <n v="99.61"/>
    <s v="X"/>
    <s v="A"/>
    <s v="M"/>
    <m/>
    <m/>
    <m/>
    <m/>
    <x v="4"/>
    <x v="0"/>
    <n v="15.90000000000001"/>
    <x v="1"/>
  </r>
  <r>
    <d v="2025-06-01T00:00:00"/>
    <s v="VW Leasing"/>
    <s v="RG10244632135"/>
    <x v="1"/>
    <s v="Rate 06/25"/>
    <n v="37.34"/>
    <n v="44.54"/>
    <s v="X"/>
    <s v="A"/>
    <s v="M"/>
    <m/>
    <m/>
    <m/>
    <m/>
    <x v="5"/>
    <x v="0"/>
    <n v="7.199999999999996"/>
    <x v="1"/>
  </r>
  <r>
    <d v="2025-06-02T00:00:00"/>
    <s v="Haus&amp;Grund"/>
    <s v="Miete 06/2025"/>
    <x v="1"/>
    <s v="Miete"/>
    <n v="225"/>
    <n v="225"/>
    <s v="X"/>
    <s v="D"/>
    <s v="M"/>
    <m/>
    <m/>
    <m/>
    <m/>
    <x v="5"/>
    <x v="0"/>
    <n v="0"/>
    <x v="0"/>
  </r>
  <r>
    <d v="2025-06-06T00:00:00"/>
    <s v="IT-Anger Kassen24"/>
    <s v="Re20250152"/>
    <x v="0"/>
    <s v="Reparatur Sumni D2mini"/>
    <n v="89"/>
    <n v="105.91"/>
    <s v="X"/>
    <s v="Z"/>
    <s v="M"/>
    <m/>
    <m/>
    <m/>
    <m/>
    <x v="5"/>
    <x v="0"/>
    <n v="16.91"/>
    <x v="1"/>
  </r>
  <r>
    <d v="2025-06-06T00:00:00"/>
    <s v="TD-Synnex"/>
    <s v="R8271582710"/>
    <x v="0"/>
    <s v="APC 1500 für rha"/>
    <n v="1242.41"/>
    <n v="1478.47"/>
    <s v="X"/>
    <s v="Z"/>
    <s v="M"/>
    <m/>
    <m/>
    <m/>
    <m/>
    <x v="5"/>
    <x v="0"/>
    <n v="236.0599999999999"/>
    <x v="1"/>
  </r>
  <r>
    <d v="2025-06-06T00:00:00"/>
    <s v="OpenAI"/>
    <s v="7J06MMBJ-0002"/>
    <x v="1"/>
    <s v="Bis 5.7.2025 ChatGPT Plus"/>
    <n v="17.61"/>
    <n v="17.61"/>
    <s v="X"/>
    <s v="A"/>
    <s v="M"/>
    <m/>
    <m/>
    <m/>
    <s v="FX"/>
    <x v="5"/>
    <x v="0"/>
    <n v="0"/>
    <x v="0"/>
  </r>
  <r>
    <d v="2025-06-10T00:00:00"/>
    <s v="Hetzner"/>
    <s v="Re082000316159"/>
    <x v="0"/>
    <s v="Speicherplatz Mai ++ Juni"/>
    <n v="6.38"/>
    <n v="7.6"/>
    <s v="X"/>
    <s v="A"/>
    <s v="M"/>
    <m/>
    <m/>
    <m/>
    <m/>
    <x v="5"/>
    <x v="0"/>
    <n v="1.22"/>
    <x v="1"/>
  </r>
  <r>
    <d v="2025-06-10T00:00:00"/>
    <s v="Ratiokontakt"/>
    <s v="R10878378"/>
    <x v="0"/>
    <s v="Bis 16.06.2025"/>
    <n v="29.9"/>
    <n v="35.58"/>
    <s v="X"/>
    <s v="A"/>
    <s v="M"/>
    <m/>
    <m/>
    <m/>
    <m/>
    <x v="5"/>
    <x v="0"/>
    <n v="5.68"/>
    <x v="1"/>
  </r>
  <r>
    <d v="2025-06-10T00:00:00"/>
    <s v="Wortmann"/>
    <s v="DR8688772"/>
    <x v="0"/>
    <s v="Carbonite Backup VEH Mai"/>
    <n v="9.9"/>
    <n v="11.78"/>
    <s v="X"/>
    <s v="A"/>
    <s v="M"/>
    <m/>
    <m/>
    <m/>
    <m/>
    <x v="5"/>
    <x v="0"/>
    <n v="1.879999999999999"/>
    <x v="1"/>
  </r>
  <r>
    <d v="2025-06-12T00:00:00"/>
    <s v="Starbuero"/>
    <s v="SB2025-22938"/>
    <x v="1"/>
    <s v="Mai"/>
    <n v="20.17"/>
    <n v="24"/>
    <s v="X"/>
    <s v="A"/>
    <s v="M"/>
    <m/>
    <m/>
    <m/>
    <m/>
    <x v="5"/>
    <x v="0"/>
    <n v="3.829999999999998"/>
    <x v="1"/>
  </r>
  <r>
    <d v="2025-06-12T00:00:00"/>
    <s v="Telekom"/>
    <s v="34 7089 4700 0551"/>
    <x v="1"/>
    <s v="Schulze Mobil Mai"/>
    <n v="12.76"/>
    <n v="15.18"/>
    <s v="X"/>
    <s v="A"/>
    <s v="M"/>
    <m/>
    <m/>
    <m/>
    <m/>
    <x v="5"/>
    <x v="0"/>
    <n v="2.42"/>
    <x v="1"/>
  </r>
  <r>
    <d v="2025-06-16T00:00:00"/>
    <s v="Telekom"/>
    <s v="780 496 0404"/>
    <x v="1"/>
    <s v="Schulze Juni"/>
    <n v="33.84"/>
    <n v="40.27"/>
    <s v="X"/>
    <s v="A"/>
    <s v="M"/>
    <m/>
    <m/>
    <m/>
    <m/>
    <x v="5"/>
    <x v="0"/>
    <n v="6.43"/>
    <x v="1"/>
  </r>
  <r>
    <d v="2025-06-17T00:00:00"/>
    <s v="Wolkesicher"/>
    <s v="RG 388813"/>
    <x v="1"/>
    <s v="nc2.uhde.de Bis 31.07.2025"/>
    <n v="4.19"/>
    <n v="4.99"/>
    <s v="X"/>
    <s v="A"/>
    <s v="M"/>
    <m/>
    <m/>
    <m/>
    <m/>
    <x v="5"/>
    <x v="0"/>
    <n v="0.7999999999999998"/>
    <x v="1"/>
  </r>
  <r>
    <d v="2025-06-17T00:00:00"/>
    <s v="Blau"/>
    <s v="1283546635/08"/>
    <x v="1"/>
    <s v="Faszl Juni"/>
    <n v="6.71"/>
    <n v="7.99"/>
    <s v="X"/>
    <s v="A"/>
    <s v="M"/>
    <m/>
    <m/>
    <m/>
    <m/>
    <x v="5"/>
    <x v="0"/>
    <n v="1.28"/>
    <x v="1"/>
  </r>
  <r>
    <d v="2025-06-26T00:00:00"/>
    <s v="Telekom"/>
    <s v="781 166 2004"/>
    <x v="1"/>
    <s v="Juni Büro"/>
    <n v="39.9"/>
    <n v="47.48"/>
    <s v="X"/>
    <s v="A"/>
    <s v="M"/>
    <m/>
    <m/>
    <m/>
    <m/>
    <x v="5"/>
    <x v="0"/>
    <n v="7.579999999999998"/>
    <x v="1"/>
  </r>
  <r>
    <d v="2025-06-30T00:00:00"/>
    <s v="DTS"/>
    <s v="25-13-079378"/>
    <x v="1"/>
    <s v="Juni Centrexx3 3 Nebenstellen"/>
    <n v="30.19"/>
    <n v="35.93"/>
    <s v="X"/>
    <s v="A"/>
    <s v="M"/>
    <m/>
    <m/>
    <m/>
    <m/>
    <x v="5"/>
    <x v="0"/>
    <n v="5.739999999999998"/>
    <x v="1"/>
  </r>
  <r>
    <d v="2025-06-30T00:00:00"/>
    <s v="DKV"/>
    <s v="25-644829285-001"/>
    <x v="1"/>
    <s v="Juni "/>
    <n v="91.89"/>
    <n v="109.35"/>
    <s v="X"/>
    <s v="A"/>
    <s v="M"/>
    <m/>
    <m/>
    <m/>
    <m/>
    <x v="5"/>
    <x v="0"/>
    <n v="17.45999999999999"/>
    <x v="1"/>
  </r>
  <r>
    <d v="2025-07-01T00:00:00"/>
    <s v="API"/>
    <s v="R14080990"/>
    <x v="0"/>
    <s v="OKI 610 Toner schwarz"/>
    <n v="116.19"/>
    <n v="138.27"/>
    <s v="X"/>
    <s v="Z"/>
    <s v="M"/>
    <m/>
    <m/>
    <m/>
    <m/>
    <x v="6"/>
    <x v="0"/>
    <n v="22.08000000000001"/>
    <x v="1"/>
  </r>
  <r>
    <d v="2025-07-01T00:00:00"/>
    <s v="VW Leasing"/>
    <s v="R10246214684"/>
    <x v="1"/>
    <s v="Rate 07/25"/>
    <n v="37.34"/>
    <n v="44.54"/>
    <s v="X"/>
    <s v="A"/>
    <s v="M"/>
    <m/>
    <m/>
    <m/>
    <m/>
    <x v="6"/>
    <x v="0"/>
    <n v="7.199999999999996"/>
    <x v="1"/>
  </r>
  <r>
    <d v="2025-07-02T00:00:00"/>
    <s v="Haus&amp;Grund"/>
    <s v="Miete 07/2025"/>
    <x v="1"/>
    <s v="Miete"/>
    <n v="225"/>
    <n v="225"/>
    <s v="X"/>
    <s v="D"/>
    <s v="M"/>
    <m/>
    <m/>
    <m/>
    <m/>
    <x v="6"/>
    <x v="0"/>
    <n v="0"/>
    <x v="0"/>
  </r>
  <r>
    <d v="2025-07-04T00:00:00"/>
    <s v="Infinigate"/>
    <s v="PSI-23329488/1"/>
    <x v="0"/>
    <s v="Watchguard MFA für FED"/>
    <n v="117.42"/>
    <n v="139.73"/>
    <s v="X"/>
    <s v="A"/>
    <s v="M"/>
    <m/>
    <m/>
    <m/>
    <m/>
    <x v="6"/>
    <x v="0"/>
    <n v="22.30999999999999"/>
    <x v="1"/>
  </r>
  <r>
    <d v="2025-07-05T00:00:00"/>
    <s v="OPenAI"/>
    <s v="7J06MMBJ-0003"/>
    <x v="1"/>
    <s v="Bis 5.8.2025"/>
    <n v="17.02"/>
    <n v="17.02"/>
    <s v="X"/>
    <s v="A"/>
    <s v="M"/>
    <m/>
    <m/>
    <m/>
    <s v="FX"/>
    <x v="6"/>
    <x v="0"/>
    <n v="0"/>
    <x v="0"/>
  </r>
  <r>
    <d v="2025-07-07T00:00:00"/>
    <s v="Sage"/>
    <s v="2025-1223740"/>
    <x v="1"/>
    <s v="Juni"/>
    <n v="15.5"/>
    <n v="18.45"/>
    <s v="X"/>
    <s v="A"/>
    <s v="M"/>
    <m/>
    <m/>
    <m/>
    <m/>
    <x v="6"/>
    <x v="0"/>
    <n v="2.949999999999999"/>
    <x v="1"/>
  </r>
  <r>
    <d v="2025-07-09T00:00:00"/>
    <s v="Wortmann"/>
    <s v="DR8743522"/>
    <x v="0"/>
    <s v="Corbonite Juni"/>
    <n v="9.9"/>
    <n v="11.78"/>
    <s v="X"/>
    <s v="A"/>
    <s v="Z"/>
    <m/>
    <m/>
    <m/>
    <m/>
    <x v="6"/>
    <x v="0"/>
    <n v="1.879999999999999"/>
    <x v="1"/>
  </r>
  <r>
    <d v="2025-07-10T00:00:00"/>
    <s v="Ratiokontakt"/>
    <s v="R10880855"/>
    <x v="0"/>
    <s v="bis 17.07.2025"/>
    <n v="29.9"/>
    <n v="35.58"/>
    <s v="X"/>
    <s v="A"/>
    <s v="M"/>
    <m/>
    <m/>
    <m/>
    <m/>
    <x v="6"/>
    <x v="0"/>
    <n v="5.68"/>
    <x v="1"/>
  </r>
  <r>
    <d v="2025-07-10T00:00:00"/>
    <s v="Telekom"/>
    <s v="34 8209 7600 0551"/>
    <x v="1"/>
    <s v="Schulze Mobil Juni"/>
    <n v="12.56"/>
    <n v="14.95"/>
    <s v="X"/>
    <s v="A"/>
    <s v="M"/>
    <m/>
    <m/>
    <m/>
    <m/>
    <x v="6"/>
    <x v="0"/>
    <n v="2.389999999999999"/>
    <x v="1"/>
  </r>
  <r>
    <d v="2025-07-10T00:00:00"/>
    <s v="PSW"/>
    <s v="R12521702"/>
    <x v="0"/>
    <s v="SSL-Zertif. Nc.gzv-isenach-eckbach.de"/>
    <n v="13.61"/>
    <n v="16.2"/>
    <s v="X"/>
    <s v="A"/>
    <s v="M"/>
    <m/>
    <m/>
    <m/>
    <m/>
    <x v="6"/>
    <x v="0"/>
    <n v="2.59"/>
    <x v="1"/>
  </r>
  <r>
    <d v="2025-07-10T00:00:00"/>
    <s v="DTS NFON"/>
    <s v="25-13-19108"/>
    <x v="1"/>
    <s v="Gutschrift"/>
    <n v="-0.126"/>
    <n v="-0.15"/>
    <s v="X"/>
    <s v="A"/>
    <s v="M"/>
    <m/>
    <m/>
    <m/>
    <m/>
    <x v="6"/>
    <x v="0"/>
    <n v="-0.02399999999999999"/>
    <x v="1"/>
  </r>
  <r>
    <d v="2025-07-14T00:00:00"/>
    <s v="Audi"/>
    <s v="DE03292500182327"/>
    <x v="1"/>
    <s v="Audi Infotainmant"/>
    <n v="83.19"/>
    <n v="99"/>
    <s v="X"/>
    <s v="A"/>
    <s v="M"/>
    <m/>
    <m/>
    <m/>
    <m/>
    <x v="6"/>
    <x v="0"/>
    <n v="15.81"/>
    <x v="1"/>
  </r>
  <r>
    <d v="2025-07-14T00:00:00"/>
    <s v="Audi"/>
    <s v="DE03292500182332"/>
    <x v="1"/>
    <s v="Audi connect"/>
    <n v="33.53"/>
    <n v="39.9"/>
    <s v="X"/>
    <s v="A"/>
    <s v="M"/>
    <m/>
    <m/>
    <m/>
    <m/>
    <x v="6"/>
    <x v="0"/>
    <n v="6.369999999999997"/>
    <x v="1"/>
  </r>
  <r>
    <d v="2025-07-15T00:00:00"/>
    <s v="Blau"/>
    <s v="1307068754/08"/>
    <x v="1"/>
    <s v="Faszl Juli"/>
    <n v="6.71"/>
    <n v="7.99"/>
    <s v="X"/>
    <s v="A"/>
    <s v="M"/>
    <m/>
    <m/>
    <m/>
    <m/>
    <x v="6"/>
    <x v="0"/>
    <n v="1.28"/>
    <x v="1"/>
  </r>
  <r>
    <d v="2025-07-16T00:00:00"/>
    <s v="Telekom"/>
    <s v="R 7821554672"/>
    <x v="1"/>
    <s v="Schulze Juli"/>
    <n v="33.57"/>
    <n v="39.95"/>
    <s v="X"/>
    <s v="A"/>
    <s v="M"/>
    <m/>
    <m/>
    <m/>
    <m/>
    <x v="6"/>
    <x v="0"/>
    <n v="6.380000000000003"/>
    <x v="1"/>
  </r>
  <r>
    <d v="2025-07-17T00:00:00"/>
    <s v="Starbuero"/>
    <s v="SB2025-27517"/>
    <x v="1"/>
    <s v="Juni"/>
    <n v="5.39"/>
    <n v="6.41"/>
    <s v="X"/>
    <s v="A"/>
    <s v="M"/>
    <m/>
    <m/>
    <m/>
    <m/>
    <x v="6"/>
    <x v="0"/>
    <n v="1.02"/>
    <x v="1"/>
  </r>
  <r>
    <d v="2025-07-18T00:00:00"/>
    <s v="Wolkesicher"/>
    <s v="R391497"/>
    <x v="1"/>
    <s v="August"/>
    <n v="4.19"/>
    <n v="4.99"/>
    <s v="X"/>
    <s v="A"/>
    <s v="M"/>
    <m/>
    <m/>
    <m/>
    <m/>
    <x v="6"/>
    <x v="0"/>
    <n v="0.7999999999999998"/>
    <x v="1"/>
  </r>
  <r>
    <d v="2025-07-18T00:00:00"/>
    <s v="Starbuero"/>
    <s v="SB2025-31706"/>
    <x v="1"/>
    <s v="Juni , 2 Rechnung"/>
    <n v="1.77"/>
    <n v="2.11"/>
    <s v="X"/>
    <s v="A"/>
    <s v="M"/>
    <m/>
    <m/>
    <m/>
    <m/>
    <x v="6"/>
    <x v="0"/>
    <n v="0.3399999999999999"/>
    <x v="1"/>
  </r>
  <r>
    <d v="2025-07-15T00:00:00"/>
    <s v="DKV"/>
    <s v="25-645177918-001"/>
    <x v="1"/>
    <s v="Juli "/>
    <n v="59.31"/>
    <n v="70.58"/>
    <s v="X"/>
    <s v="A"/>
    <s v="M"/>
    <m/>
    <m/>
    <m/>
    <m/>
    <x v="6"/>
    <x v="0"/>
    <n v="11.27"/>
    <x v="1"/>
  </r>
  <r>
    <d v="2025-07-22T00:00:00"/>
    <s v="Telekom"/>
    <s v="R7824218326"/>
    <x v="1"/>
    <s v="Juli Faszl"/>
    <n v="37.77"/>
    <n v="44.95"/>
    <s v="X"/>
    <s v="A"/>
    <s v="M"/>
    <m/>
    <m/>
    <m/>
    <m/>
    <x v="6"/>
    <x v="0"/>
    <n v="7.18"/>
    <x v="1"/>
  </r>
  <r>
    <d v="2025-07-24T00:00:00"/>
    <s v="TDSynnex"/>
    <s v="R8272904489 "/>
    <x v="0"/>
    <s v="USV 300VA Teilrechnung "/>
    <n v="2727.9"/>
    <n v="3246.2"/>
    <s v="X"/>
    <s v="Z"/>
    <s v="M"/>
    <m/>
    <m/>
    <m/>
    <m/>
    <x v="6"/>
    <x v="0"/>
    <n v="518.2999999999997"/>
    <x v="1"/>
  </r>
  <r>
    <d v="2025-07-25T00:00:00"/>
    <s v="IT-Anger Kassen24"/>
    <s v="RE3422-2025"/>
    <x v="0"/>
    <s v="2 x Kassenschublade kvp"/>
    <n v="165.55"/>
    <n v="197"/>
    <s v="X"/>
    <s v="A"/>
    <s v="M"/>
    <m/>
    <m/>
    <m/>
    <m/>
    <x v="6"/>
    <x v="0"/>
    <n v="31.44999999999999"/>
    <x v="1"/>
  </r>
  <r>
    <d v="2025-07-29T00:00:00"/>
    <s v="Telekom"/>
    <s v="782 804 3612"/>
    <x v="1"/>
    <s v="August  Büro"/>
    <n v="39.9"/>
    <n v="47.48"/>
    <s v="X"/>
    <s v="A"/>
    <s v="M"/>
    <m/>
    <m/>
    <m/>
    <m/>
    <x v="6"/>
    <x v="0"/>
    <n v="7.579999999999998"/>
    <x v="1"/>
  </r>
  <r>
    <d v="2025-07-29T00:00:00"/>
    <s v="PCS"/>
    <s v="R17260660"/>
    <x v="0"/>
    <s v="ATOSS-Karten Mischo"/>
    <n v="198"/>
    <n v="235.62"/>
    <s v="X"/>
    <s v="Z"/>
    <s v="M"/>
    <m/>
    <m/>
    <m/>
    <m/>
    <x v="6"/>
    <x v="0"/>
    <n v="37.62"/>
    <x v="1"/>
  </r>
  <r>
    <d v="2025-07-31T00:00:00"/>
    <s v="TDSynnex"/>
    <s v="RE8273097006"/>
    <x v="0"/>
    <s v="USV-Speicher MUT"/>
    <n v="950.39"/>
    <n v="1130.96"/>
    <s v="X"/>
    <s v="Z"/>
    <s v="M"/>
    <m/>
    <m/>
    <m/>
    <m/>
    <x v="6"/>
    <x v="0"/>
    <n v="180.5700000000001"/>
    <x v="1"/>
  </r>
  <r>
    <d v="2025-07-31T00:00:00"/>
    <s v="DTS NFON"/>
    <s v="25-13-086802"/>
    <x v="1"/>
    <s v="Rechnung Juli"/>
    <n v="38.77"/>
    <n v="46.13"/>
    <s v="X"/>
    <s v="A"/>
    <s v="M"/>
    <m/>
    <m/>
    <m/>
    <m/>
    <x v="6"/>
    <x v="0"/>
    <n v="7.359999999999999"/>
    <x v="1"/>
  </r>
  <r>
    <d v="2025-07-31T00:00:00"/>
    <s v="BAVC"/>
    <s v="R6196163"/>
    <x v="1"/>
    <s v="BAVC Faslz"/>
    <n v="84.5"/>
    <n v="84.5"/>
    <s v="X"/>
    <s v="A"/>
    <s v="M"/>
    <m/>
    <m/>
    <m/>
    <m/>
    <x v="6"/>
    <x v="0"/>
    <n v="0"/>
    <x v="0"/>
  </r>
  <r>
    <d v="2025-07-31T00:00:00"/>
    <s v="DKV"/>
    <s v="25-645531701-001"/>
    <x v="1"/>
    <s v="DKV Juli 2. Rechnung"/>
    <n v="190.01"/>
    <n v="226.11"/>
    <s v="X"/>
    <s v="A"/>
    <s v="M"/>
    <m/>
    <m/>
    <m/>
    <m/>
    <x v="6"/>
    <x v="0"/>
    <n v="36.10000000000002"/>
    <x v="1"/>
  </r>
  <r>
    <d v="2025-08-01T00:00:00"/>
    <s v="VW Leasing"/>
    <s v="R10247674995"/>
    <x v="1"/>
    <s v="Rate 08.2025"/>
    <n v="37.43"/>
    <n v="44.54"/>
    <s v="X"/>
    <s v="A"/>
    <s v="M"/>
    <m/>
    <m/>
    <m/>
    <m/>
    <x v="7"/>
    <x v="0"/>
    <n v="7.109999999999999"/>
    <x v="1"/>
  </r>
  <r>
    <d v="2025-08-04T00:00:00"/>
    <s v="Haus&amp;Grund"/>
    <s v="Miete 08/2025"/>
    <x v="1"/>
    <s v="Miete"/>
    <n v="225"/>
    <n v="225"/>
    <s v="X"/>
    <s v="D"/>
    <s v="M"/>
    <m/>
    <m/>
    <m/>
    <m/>
    <x v="7"/>
    <x v="0"/>
    <n v="0"/>
    <x v="0"/>
  </r>
  <r>
    <d v="2025-08-05T00:00:00"/>
    <s v="Elovade Ebertlang"/>
    <s v="R1199449"/>
    <x v="0"/>
    <s v="Zus. 5 Mailstorebenutzer WFB"/>
    <n v="110"/>
    <n v="130.9"/>
    <s v="X"/>
    <s v="A"/>
    <s v="M"/>
    <m/>
    <m/>
    <m/>
    <m/>
    <x v="7"/>
    <x v="0"/>
    <n v="20.90000000000001"/>
    <x v="1"/>
  </r>
  <r>
    <d v="2025-08-05T00:00:00"/>
    <s v="OfficePartner"/>
    <s v="R55472394"/>
    <x v="0"/>
    <s v="EcoTank ET-280 HO Alsbach"/>
    <n v="184.03"/>
    <n v="219"/>
    <s v="X"/>
    <s v="Z"/>
    <s v="M"/>
    <m/>
    <m/>
    <m/>
    <m/>
    <x v="7"/>
    <x v="0"/>
    <n v="34.97"/>
    <x v="1"/>
  </r>
  <r>
    <d v="2025-08-06T00:00:00"/>
    <s v="Sage"/>
    <s v="2025-1245837"/>
    <x v="1"/>
    <s v="Sage HR Cloud 2 MA"/>
    <n v="15.5"/>
    <n v="18.45"/>
    <s v="X"/>
    <s v="A"/>
    <s v="M"/>
    <m/>
    <m/>
    <m/>
    <m/>
    <x v="7"/>
    <x v="0"/>
    <n v="2.949999999999999"/>
    <x v="1"/>
  </r>
  <r>
    <d v="2025-08-06T00:00:00"/>
    <s v="OpenAI"/>
    <s v="7J06MMBJ-0004"/>
    <x v="1"/>
    <s v="ChatGpt bis 5.9.2025"/>
    <n v="17.32"/>
    <n v="17.32"/>
    <s v="X"/>
    <s v="A"/>
    <s v="M"/>
    <m/>
    <m/>
    <m/>
    <s v="FX"/>
    <x v="7"/>
    <x v="0"/>
    <n v="0"/>
    <x v="0"/>
  </r>
  <r>
    <d v="2025-08-06T00:00:00"/>
    <s v="TDSynnex"/>
    <s v="R827322103"/>
    <x v="0"/>
    <s v="Veeam 3 jahre FED"/>
    <n v="1879.32"/>
    <n v="2236.39"/>
    <s v="X"/>
    <s v="Z"/>
    <s v="M"/>
    <m/>
    <m/>
    <m/>
    <m/>
    <x v="7"/>
    <x v="0"/>
    <n v="357.0699999999999"/>
    <x v="1"/>
  </r>
  <r>
    <d v="2025-08-07T00:00:00"/>
    <s v="Thomas-Krenn.AG"/>
    <s v="AR20256207"/>
    <x v="0"/>
    <s v="8TB SATA HDD für WFBNAS03"/>
    <n v="211.16"/>
    <n v="251.28"/>
    <s v="X"/>
    <s v="Z"/>
    <s v="M"/>
    <m/>
    <m/>
    <m/>
    <m/>
    <x v="7"/>
    <x v="0"/>
    <n v="40.12"/>
    <x v="1"/>
  </r>
  <r>
    <d v="2025-08-09T00:00:00"/>
    <s v="Wortmann"/>
    <s v="DR8803123"/>
    <x v="0"/>
    <s v="Terra Cloud Carbonite VEH"/>
    <n v="9.9"/>
    <n v="11.78"/>
    <s v="X"/>
    <s v="Z"/>
    <s v="M"/>
    <m/>
    <m/>
    <m/>
    <m/>
    <x v="7"/>
    <x v="0"/>
    <n v="1.879999999999999"/>
    <x v="1"/>
  </r>
  <r>
    <d v="2025-08-10T00:00:00"/>
    <s v="Hetzner"/>
    <s v="R089000458663"/>
    <x v="0"/>
    <s v="Storage Juli + August"/>
    <n v="6.38"/>
    <n v="7.6"/>
    <s v="X"/>
    <s v="A"/>
    <s v="M"/>
    <m/>
    <m/>
    <m/>
    <m/>
    <x v="7"/>
    <x v="0"/>
    <n v="1.22"/>
    <x v="1"/>
  </r>
  <r>
    <d v="2025-08-11T00:00:00"/>
    <s v="Ratiokontakt"/>
    <s v="R10883353"/>
    <x v="0"/>
    <s v="bis 16.08.2025"/>
    <n v="36.98"/>
    <n v="44.01"/>
    <s v="X"/>
    <s v="A"/>
    <s v="M"/>
    <m/>
    <m/>
    <m/>
    <m/>
    <x v="7"/>
    <x v="0"/>
    <n v="7.030000000000001"/>
    <x v="1"/>
  </r>
  <r>
    <d v="2025-08-12T00:00:00"/>
    <s v="Bundesanzeiger"/>
    <s v="R96912083"/>
    <x v="1"/>
    <s v="Hinterlegung Bilanz 2024"/>
    <n v="21.5"/>
    <n v="25.59"/>
    <s v="X"/>
    <s v="Z"/>
    <s v="M"/>
    <m/>
    <m/>
    <m/>
    <m/>
    <x v="7"/>
    <x v="0"/>
    <n v="4.09"/>
    <x v="1"/>
  </r>
  <r>
    <d v="2025-08-12T00:00:00"/>
    <s v="Telekom"/>
    <s v="34 9327 1700 0551"/>
    <x v="1"/>
    <s v="Schulze mobil Juli"/>
    <n v="13.56"/>
    <n v="16.14"/>
    <s v="X"/>
    <s v="A"/>
    <s v="M"/>
    <m/>
    <m/>
    <m/>
    <m/>
    <x v="7"/>
    <x v="0"/>
    <n v="2.58"/>
    <x v="1"/>
  </r>
  <r>
    <d v="2025-08-14T00:00:00"/>
    <s v="Blau"/>
    <s v="1331882006/08"/>
    <x v="1"/>
    <s v="Faszl Mobil August"/>
    <n v="6.71"/>
    <n v="7.99"/>
    <s v="X"/>
    <s v="A"/>
    <s v="M"/>
    <m/>
    <m/>
    <m/>
    <m/>
    <x v="7"/>
    <x v="0"/>
    <n v="1.28"/>
    <x v="1"/>
  </r>
  <r>
    <d v="2025-08-15T00:00:00"/>
    <s v="Telekom"/>
    <s v="783 793 5393"/>
    <x v="1"/>
    <s v="Schulze August"/>
    <n v="33.57"/>
    <n v="39.95"/>
    <s v="X"/>
    <s v="A"/>
    <s v="M"/>
    <m/>
    <m/>
    <m/>
    <m/>
    <x v="7"/>
    <x v="0"/>
    <n v="6.380000000000003"/>
    <x v="1"/>
  </r>
  <r>
    <d v="2025-08-15T00:00:00"/>
    <s v="Starbuero"/>
    <s v="SB2025-36538"/>
    <x v="1"/>
    <s v="Juli"/>
    <n v="17.78"/>
    <n v="21.16"/>
    <s v="X"/>
    <s v="A"/>
    <s v="M"/>
    <m/>
    <m/>
    <m/>
    <m/>
    <x v="7"/>
    <x v="0"/>
    <n v="3.379999999999999"/>
    <x v="1"/>
  </r>
  <r>
    <d v="2025-08-15T00:00:00"/>
    <s v="GEZ"/>
    <s v="Q1/2025"/>
    <x v="1"/>
    <s v="Rundfunkbeitrag "/>
    <n v="91.8"/>
    <n v="91.8"/>
    <s v="X"/>
    <s v="A"/>
    <s v="M"/>
    <m/>
    <m/>
    <m/>
    <m/>
    <x v="7"/>
    <x v="0"/>
    <n v="0"/>
    <x v="0"/>
  </r>
  <r>
    <d v="2025-08-18T00:00:00"/>
    <s v="Wolkesicher"/>
    <s v="R394232"/>
    <x v="1"/>
    <s v="September"/>
    <n v="4.19"/>
    <n v="4.99"/>
    <s v="X"/>
    <s v="A"/>
    <s v="M"/>
    <m/>
    <m/>
    <m/>
    <m/>
    <x v="7"/>
    <x v="0"/>
    <n v="0.7999999999999998"/>
    <x v="1"/>
  </r>
  <r>
    <d v="2025-08-20T00:00:00"/>
    <s v="Telekom"/>
    <s v="784 056 0053"/>
    <x v="1"/>
    <s v="Faszl August"/>
    <n v="37.77"/>
    <n v="44.95"/>
    <s v="X"/>
    <s v="A"/>
    <s v="M"/>
    <m/>
    <m/>
    <m/>
    <m/>
    <x v="7"/>
    <x v="0"/>
    <n v="7.18"/>
    <x v="1"/>
  </r>
  <r>
    <d v="2025-08-21T00:00:00"/>
    <s v="DKV"/>
    <s v="25-645778786-001"/>
    <x v="1"/>
    <s v="Bis 15.08.2025"/>
    <n v="2.98"/>
    <n v="3.55"/>
    <s v="X"/>
    <s v="A"/>
    <s v="M"/>
    <m/>
    <m/>
    <m/>
    <m/>
    <x v="7"/>
    <x v="0"/>
    <n v="0.5699999999999998"/>
    <x v="1"/>
  </r>
  <r>
    <d v="2025-08-18T00:00:00"/>
    <s v="Video4Net"/>
    <s v="GM-8352"/>
    <x v="0"/>
    <s v="EDV-Schulung August"/>
    <n v="125"/>
    <n v="148.75"/>
    <s v="X"/>
    <s v="Z"/>
    <s v="M"/>
    <m/>
    <m/>
    <m/>
    <m/>
    <x v="7"/>
    <x v="0"/>
    <n v="23.75"/>
    <x v="1"/>
  </r>
  <r>
    <d v="2025-07-06T00:00:00"/>
    <s v="Video4Net"/>
    <s v="GM-8328"/>
    <x v="0"/>
    <s v="Buchhaltung April"/>
    <n v="75"/>
    <n v="89.25"/>
    <s v="X"/>
    <s v="Z"/>
    <s v="M"/>
    <m/>
    <m/>
    <m/>
    <m/>
    <x v="6"/>
    <x v="0"/>
    <n v="14.25"/>
    <x v="1"/>
  </r>
  <r>
    <d v="2025-05-09T00:00:00"/>
    <s v="Video4Net"/>
    <s v="GM-8316"/>
    <x v="0"/>
    <s v="EDV-Schulung Mai"/>
    <n v="75"/>
    <n v="89.25"/>
    <s v="X"/>
    <s v="Z"/>
    <s v="M"/>
    <m/>
    <m/>
    <m/>
    <m/>
    <x v="4"/>
    <x v="0"/>
    <n v="14.25"/>
    <x v="1"/>
  </r>
  <r>
    <d v="2025-08-27T00:00:00"/>
    <s v="Telekom"/>
    <s v="784 442 0830"/>
    <x v="1"/>
    <s v="LU  August"/>
    <n v="39.9"/>
    <n v="47.48"/>
    <s v="X"/>
    <s v="A"/>
    <s v="M"/>
    <m/>
    <m/>
    <m/>
    <m/>
    <x v="7"/>
    <x v="0"/>
    <n v="7.579999999999998"/>
    <x v="1"/>
  </r>
  <r>
    <d v="2025-08-31T00:00:00"/>
    <s v="DTS NFON"/>
    <s v="25-13-094485"/>
    <x v="1"/>
    <s v="August"/>
    <n v="22.71"/>
    <n v="27.02"/>
    <s v="X"/>
    <s v="A"/>
    <s v="M"/>
    <m/>
    <m/>
    <m/>
    <m/>
    <x v="7"/>
    <x v="0"/>
    <n v="4.309999999999999"/>
    <x v="1"/>
  </r>
  <r>
    <d v="2025-08-31T00:00:00"/>
    <s v="DKV"/>
    <s v="25/645531701/001"/>
    <x v="1"/>
    <s v="Bis 31.08.2025"/>
    <n v="276.83"/>
    <n v="329.43"/>
    <s v="X"/>
    <s v="A"/>
    <s v="M"/>
    <m/>
    <m/>
    <m/>
    <m/>
    <x v="7"/>
    <x v="0"/>
    <n v="52.60000000000002"/>
    <x v="1"/>
  </r>
  <r>
    <d v="2025-09-01T00:00:00"/>
    <s v="VW Leasing"/>
    <s v="R10249613329"/>
    <x v="1"/>
    <s v="Rate 09.2025"/>
    <n v="37.43"/>
    <n v="44.54"/>
    <s v="X"/>
    <s v="A"/>
    <s v="M"/>
    <m/>
    <m/>
    <m/>
    <m/>
    <x v="8"/>
    <x v="0"/>
    <n v="7.109999999999999"/>
    <x v="1"/>
  </r>
  <r>
    <d v="2025-09-02T00:00:00"/>
    <s v="Haus&amp;Grund"/>
    <s v="Miete 09/2025"/>
    <x v="1"/>
    <s v="Miete"/>
    <n v="225"/>
    <n v="225"/>
    <s v="X"/>
    <s v="D"/>
    <s v="M"/>
    <m/>
    <m/>
    <m/>
    <m/>
    <x v="8"/>
    <x v="0"/>
    <n v="0"/>
    <x v="0"/>
  </r>
  <r>
    <d v="2025-09-09T00:00:00"/>
    <s v="Wortmann"/>
    <s v="DR8861542"/>
    <x v="0"/>
    <s v="August"/>
    <n v="9.9"/>
    <n v="11.78"/>
    <s v="X"/>
    <s v="Z"/>
    <s v="M"/>
    <m/>
    <m/>
    <m/>
    <m/>
    <x v="8"/>
    <x v="0"/>
    <n v="1.879999999999999"/>
    <x v="1"/>
  </r>
  <r>
    <d v="2025-09-10T00:00:00"/>
    <s v="Ratiokontakt"/>
    <s v="R10885796"/>
    <x v="0"/>
    <s v="August"/>
    <n v="29.9"/>
    <n v="35.58"/>
    <s v="X"/>
    <s v="A"/>
    <s v="M"/>
    <m/>
    <m/>
    <m/>
    <m/>
    <x v="8"/>
    <x v="0"/>
    <n v="5.68"/>
    <x v="1"/>
  </r>
  <r>
    <d v="2025-09-10T00:00:00"/>
    <s v="Telekom"/>
    <s v="R35044731000551"/>
    <x v="1"/>
    <s v="August"/>
    <n v="12.59"/>
    <n v="14.95"/>
    <s v="X"/>
    <s v="A"/>
    <s v="M"/>
    <m/>
    <m/>
    <m/>
    <m/>
    <x v="8"/>
    <x v="0"/>
    <n v="2.359999999999999"/>
    <x v="1"/>
  </r>
  <r>
    <d v="2025-09-11T00:00:00"/>
    <s v="Sage"/>
    <s v="2025-1269475"/>
    <x v="1"/>
    <s v="August"/>
    <n v="15.5"/>
    <n v="18.45"/>
    <s v="X"/>
    <s v="A"/>
    <s v="M"/>
    <m/>
    <m/>
    <m/>
    <m/>
    <x v="8"/>
    <x v="0"/>
    <n v="2.949999999999999"/>
    <x v="1"/>
  </r>
  <r>
    <d v="2025-09-15T00:00:00"/>
    <s v="Starbuero"/>
    <s v="SB2025-41237"/>
    <x v="1"/>
    <s v="August"/>
    <n v="4.8"/>
    <n v="5.71"/>
    <s v="X"/>
    <s v="A"/>
    <s v="M"/>
    <m/>
    <m/>
    <m/>
    <m/>
    <x v="8"/>
    <x v="0"/>
    <n v="0.9100000000000001"/>
    <x v="1"/>
  </r>
  <r>
    <d v="2025-09-16T00:00:00"/>
    <s v="Telekom"/>
    <s v="R7854176324"/>
    <x v="1"/>
    <s v="September Schulze"/>
    <n v="33.57"/>
    <n v="39.95"/>
    <s v="X"/>
    <s v="A"/>
    <s v="M"/>
    <m/>
    <m/>
    <m/>
    <m/>
    <x v="8"/>
    <x v="0"/>
    <n v="6.380000000000003"/>
    <x v="1"/>
  </r>
  <r>
    <d v="2025-09-15T00:00:00"/>
    <s v="Blau"/>
    <s v="1356712414/08"/>
    <x v="1"/>
    <s v="September Faszl"/>
    <n v="6.71"/>
    <n v="7.99"/>
    <s v="X"/>
    <s v="A"/>
    <s v="M"/>
    <m/>
    <m/>
    <m/>
    <m/>
    <x v="8"/>
    <x v="0"/>
    <n v="1.28"/>
    <x v="1"/>
  </r>
  <r>
    <d v="2025-09-17T00:00:00"/>
    <s v="Wolkesicher"/>
    <s v="RG 397091"/>
    <x v="1"/>
    <s v="Oktober"/>
    <n v="4.19"/>
    <n v="4.99"/>
    <s v="X"/>
    <s v="A"/>
    <s v="M"/>
    <m/>
    <m/>
    <m/>
    <m/>
    <x v="8"/>
    <x v="0"/>
    <n v="0.7999999999999998"/>
    <x v="1"/>
  </r>
  <r>
    <d v="2025-09-17T00:00:00"/>
    <s v="Sage"/>
    <s v="2025-1286112"/>
    <x v="0"/>
    <s v="Sage SSP Partnervertrag bis 30.09.2025"/>
    <n v="750"/>
    <n v="892.5"/>
    <s v="X"/>
    <s v="A"/>
    <s v="M"/>
    <m/>
    <m/>
    <m/>
    <m/>
    <x v="8"/>
    <x v="0"/>
    <n v="142.5"/>
    <x v="1"/>
  </r>
  <r>
    <d v="2025-09-19T00:00:00"/>
    <s v="Telekom"/>
    <s v="R7857003821"/>
    <x v="1"/>
    <s v="September Faszl"/>
    <n v="37.77"/>
    <n v="44.95"/>
    <s v="X"/>
    <s v="A"/>
    <s v="M"/>
    <m/>
    <m/>
    <m/>
    <m/>
    <x v="8"/>
    <x v="0"/>
    <n v="7.18"/>
    <x v="1"/>
  </r>
  <r>
    <d v="2025-09-15T00:00:00"/>
    <s v="DKV"/>
    <s v="25/646508233/001"/>
    <x v="1"/>
    <s v="September "/>
    <n v="60.53"/>
    <n v="72.03"/>
    <s v="X"/>
    <s v="A"/>
    <s v="M"/>
    <m/>
    <m/>
    <m/>
    <m/>
    <x v="8"/>
    <x v="0"/>
    <n v="11.5"/>
    <x v="1"/>
  </r>
  <r>
    <d v="2025-09-26T00:00:00"/>
    <s v="Telekom"/>
    <s v="786 072 6415"/>
    <x v="1"/>
    <s v="Oktober Büro"/>
    <n v="39.9"/>
    <n v="47.48"/>
    <s v="X"/>
    <s v="A"/>
    <s v="M"/>
    <m/>
    <m/>
    <m/>
    <m/>
    <x v="8"/>
    <x v="0"/>
    <n v="7.579999999999998"/>
    <x v="1"/>
  </r>
  <r>
    <d v="2025-09-26T00:00:00"/>
    <s v="Allianz"/>
    <s v="AS-1553704076"/>
    <x v="1"/>
    <s v="Beitrag bis 22.11.2026"/>
    <n v="595.13"/>
    <n v="708.2"/>
    <s v="X"/>
    <s v="Z"/>
    <s v="M"/>
    <m/>
    <m/>
    <m/>
    <m/>
    <x v="8"/>
    <x v="0"/>
    <n v="113.0700000000001"/>
    <x v="1"/>
  </r>
  <r>
    <d v="2025-09-26T00:00:00"/>
    <s v="Allianz"/>
    <s v="AS-1553704090"/>
    <x v="1"/>
    <s v="Beitrag bis 22.11.2026"/>
    <n v="244.4"/>
    <n v="290.84"/>
    <s v="X"/>
    <s v="Z"/>
    <s v="M"/>
    <m/>
    <m/>
    <m/>
    <m/>
    <x v="8"/>
    <x v="0"/>
    <n v="46.43999999999997"/>
    <x v="1"/>
  </r>
  <r>
    <d v="2025-09-30T00:00:00"/>
    <s v="DTS NFON"/>
    <s v="25-13-103656"/>
    <x v="1"/>
    <s v="September"/>
    <n v="20.32"/>
    <n v="24.18"/>
    <s v="X"/>
    <s v="A"/>
    <s v="M"/>
    <m/>
    <m/>
    <m/>
    <m/>
    <x v="8"/>
    <x v="0"/>
    <n v="3.859999999999999"/>
    <x v="1"/>
  </r>
  <r>
    <d v="2025-09-30T00:00:00"/>
    <s v="DTS NFON"/>
    <s v="R11625202"/>
    <x v="1"/>
    <s v="April - September Nachberechnung"/>
    <n v="3.37"/>
    <n v="4.01"/>
    <s v="X"/>
    <s v="A"/>
    <s v="M"/>
    <m/>
    <m/>
    <m/>
    <m/>
    <x v="8"/>
    <x v="0"/>
    <n v="0.6399999999999997"/>
    <x v="1"/>
  </r>
  <r>
    <d v="2025-09-30T00:00:00"/>
    <s v="DKV"/>
    <s v="25/646683247/001"/>
    <x v="1"/>
    <s v="September"/>
    <n v="143.29"/>
    <n v="170.52"/>
    <s v="X"/>
    <s v="A"/>
    <s v="M"/>
    <m/>
    <m/>
    <m/>
    <m/>
    <x v="8"/>
    <x v="0"/>
    <n v="27.23000000000002"/>
    <x v="1"/>
  </r>
  <r>
    <d v="2025-10-01T00:00:00"/>
    <s v="VW Leasing"/>
    <s v="R10253654855"/>
    <x v="1"/>
    <s v="Oktober"/>
    <n v="37.43"/>
    <n v="44.54"/>
    <s v="X"/>
    <s v="A"/>
    <s v="M"/>
    <m/>
    <m/>
    <m/>
    <m/>
    <x v="9"/>
    <x v="0"/>
    <n v="7.109999999999999"/>
    <x v="1"/>
  </r>
  <r>
    <d v="2025-10-02T00:00:00"/>
    <s v="Infinigate"/>
    <s v="PSI-23363507"/>
    <x v="0"/>
    <s v="WahtchGuard Support M370 1 Jahr GML"/>
    <n v="2222.53"/>
    <n v="2644.81"/>
    <s v="X"/>
    <s v="Z"/>
    <s v="M"/>
    <m/>
    <m/>
    <m/>
    <m/>
    <x v="9"/>
    <x v="0"/>
    <n v="422.2799999999997"/>
    <x v="1"/>
  </r>
  <r>
    <d v="2025-10-02T00:00:00"/>
    <s v="Haus&amp;Grund"/>
    <s v="Miete 10/2025"/>
    <x v="1"/>
    <s v="Miete"/>
    <n v="225"/>
    <n v="225"/>
    <s v="X"/>
    <s v="D"/>
    <s v="M"/>
    <m/>
    <m/>
    <m/>
    <m/>
    <x v="9"/>
    <x v="0"/>
    <n v="0"/>
    <x v="0"/>
  </r>
  <r>
    <d v="2025-10-05T00:00:00"/>
    <s v="OpenAI"/>
    <s v="7J06MMBJ-0006"/>
    <x v="1"/>
    <s v="Oktober"/>
    <n v="17.08"/>
    <n v="17.08"/>
    <s v="X"/>
    <s v="A"/>
    <s v="M"/>
    <m/>
    <m/>
    <m/>
    <s v="FX"/>
    <x v="9"/>
    <x v="0"/>
    <n v="0"/>
    <x v="0"/>
  </r>
  <r>
    <d v="2025-10-07T00:00:00"/>
    <s v="Sage"/>
    <s v="2026-1003608"/>
    <x v="1"/>
    <s v="September"/>
    <n v="15.5"/>
    <n v="18.45"/>
    <s v="X"/>
    <s v="A"/>
    <s v="M"/>
    <m/>
    <m/>
    <m/>
    <m/>
    <x v="9"/>
    <x v="0"/>
    <n v="2.949999999999999"/>
    <x v="1"/>
  </r>
  <r>
    <d v="2025-10-10T00:00:00"/>
    <s v="Hetzner"/>
    <s v="R080000517904"/>
    <x v="0"/>
    <s v="August/September"/>
    <n v="6.38"/>
    <n v="7.6"/>
    <s v="X"/>
    <s v="A"/>
    <s v="M"/>
    <m/>
    <m/>
    <m/>
    <m/>
    <x v="9"/>
    <x v="0"/>
    <n v="1.22"/>
    <x v="1"/>
  </r>
  <r>
    <d v="2025-10-10T00:00:00"/>
    <s v="Ratiokontakt"/>
    <s v="R10888274"/>
    <x v="0"/>
    <s v="bis 12.10.2026"/>
    <n v="171.5"/>
    <n v="204.09"/>
    <s v="X"/>
    <s v="A"/>
    <s v="M"/>
    <m/>
    <m/>
    <m/>
    <m/>
    <x v="9"/>
    <x v="0"/>
    <n v="32.59"/>
    <x v="1"/>
  </r>
  <r>
    <d v="2025-10-11T00:00:00"/>
    <s v="Wortmann"/>
    <s v="DR8932071"/>
    <x v="0"/>
    <s v="Office Cloud-Backup VEH September"/>
    <n v="14.9"/>
    <n v="17.73"/>
    <s v="X"/>
    <s v="Z"/>
    <s v="M"/>
    <m/>
    <m/>
    <m/>
    <m/>
    <x v="9"/>
    <x v="0"/>
    <n v="2.83"/>
    <x v="1"/>
  </r>
  <r>
    <d v="2025-10-13T00:00:00"/>
    <s v="Telekom"/>
    <s v="R35156919000551"/>
    <x v="1"/>
    <s v="Schulze September mobil"/>
    <n v="12.75"/>
    <n v="15.17"/>
    <s v="X"/>
    <s v="A"/>
    <s v="M"/>
    <m/>
    <m/>
    <m/>
    <m/>
    <x v="9"/>
    <x v="0"/>
    <n v="2.42"/>
    <x v="1"/>
  </r>
  <r>
    <d v="2025-10-13T00:00:00"/>
    <s v="Infinigate"/>
    <s v="PSI-23368193"/>
    <x v="0"/>
    <s v="Watchguard Support 3 Jahre MUT"/>
    <n v="2215.97"/>
    <n v="2637"/>
    <s v="X"/>
    <s v="Z"/>
    <s v="M"/>
    <m/>
    <m/>
    <m/>
    <m/>
    <x v="9"/>
    <x v="0"/>
    <n v="421.0300000000002"/>
    <x v="1"/>
  </r>
  <r>
    <d v="2025-10-14T00:00:00"/>
    <s v="PSW Group"/>
    <s v="RG12532153"/>
    <x v="0"/>
    <s v="SSL-Zertifikate owa.gzi-ev.de +3 Weitere"/>
    <n v="57.48"/>
    <n v="68.5"/>
    <s v="X"/>
    <s v="A"/>
    <s v="M"/>
    <m/>
    <m/>
    <m/>
    <m/>
    <x v="9"/>
    <x v="0"/>
    <n v="11.02"/>
    <x v="1"/>
  </r>
  <r>
    <d v="2025-10-14T00:00:00"/>
    <s v="Infinigate"/>
    <s v="PSI-23368916"/>
    <x v="0"/>
    <s v="Watchguard Support 3 Jahre GZI"/>
    <n v="1184.9"/>
    <n v="1410.03"/>
    <s v="X"/>
    <s v="Z"/>
    <s v="M"/>
    <m/>
    <m/>
    <m/>
    <m/>
    <x v="9"/>
    <x v="0"/>
    <n v="225.1299999999999"/>
    <x v="1"/>
  </r>
  <r>
    <d v="2025-10-15T00:00:00"/>
    <s v="API"/>
    <s v="R14415982"/>
    <x v="0"/>
    <s v="2 mobile Festplatten WD 8TB für wfb"/>
    <n v="304.51"/>
    <n v="362.37"/>
    <s v="X"/>
    <s v="Z"/>
    <s v="M"/>
    <m/>
    <m/>
    <m/>
    <m/>
    <x v="9"/>
    <x v="0"/>
    <n v="57.86000000000001"/>
    <x v="1"/>
  </r>
  <r>
    <d v="2025-10-15T00:00:00"/>
    <s v="Blau"/>
    <s v="R138156563708"/>
    <x v="1"/>
    <s v="Oktober Faszl"/>
    <n v="6.71"/>
    <n v="7.99"/>
    <s v="X"/>
    <s v="A"/>
    <s v="M"/>
    <m/>
    <m/>
    <m/>
    <m/>
    <x v="9"/>
    <x v="0"/>
    <n v="1.28"/>
    <x v="1"/>
  </r>
  <r>
    <d v="2025-10-15T00:00:00"/>
    <s v="Westcon"/>
    <s v="R1075588400"/>
    <x v="0"/>
    <s v="Trendmicro HEMS 1 Jahr GML"/>
    <n v="1239.64"/>
    <n v="1475.17"/>
    <s v="X"/>
    <s v="Z"/>
    <s v="M"/>
    <m/>
    <m/>
    <m/>
    <m/>
    <x v="9"/>
    <x v="0"/>
    <n v="235.53"/>
    <x v="1"/>
  </r>
  <r>
    <d v="2025-10-16T00:00:00"/>
    <s v="Telekom"/>
    <s v="RG 7870414419"/>
    <x v="1"/>
    <s v="Oktober Büro LU"/>
    <n v="33.67"/>
    <n v="39.95"/>
    <s v="X"/>
    <s v="A"/>
    <s v="M"/>
    <m/>
    <m/>
    <m/>
    <m/>
    <x v="9"/>
    <x v="0"/>
    <n v="6.280000000000001"/>
    <x v="1"/>
  </r>
  <r>
    <d v="2025-10-18T00:00:00"/>
    <s v="Wolkesicher"/>
    <s v="R400092"/>
    <x v="1"/>
    <s v="November"/>
    <n v="4.19"/>
    <n v="4.99"/>
    <s v="X"/>
    <s v="A"/>
    <s v="M"/>
    <m/>
    <m/>
    <m/>
    <m/>
    <x v="9"/>
    <x v="0"/>
    <n v="0.7999999999999998"/>
    <x v="1"/>
  </r>
  <r>
    <d v="2025-10-14T00:00:00"/>
    <s v="Starbuero"/>
    <s v="SB2025-45958"/>
    <x v="1"/>
    <s v="September"/>
    <n v="3.96"/>
    <n v="4.71"/>
    <s v="X"/>
    <s v="A"/>
    <s v="M"/>
    <m/>
    <m/>
    <m/>
    <m/>
    <x v="9"/>
    <x v="0"/>
    <n v="0.75"/>
    <x v="1"/>
  </r>
  <r>
    <d v="2025-10-21T00:00:00"/>
    <s v="Telekom"/>
    <s v="R7873247552"/>
    <x v="1"/>
    <s v="Oktober Faszl"/>
    <n v="37.77"/>
    <n v="44.95"/>
    <s v="X"/>
    <s v="A"/>
    <s v="M"/>
    <m/>
    <m/>
    <m/>
    <m/>
    <x v="9"/>
    <x v="0"/>
    <n v="7.18"/>
    <x v="1"/>
  </r>
  <r>
    <d v="2025-10-21T00:00:00"/>
    <s v="DKV"/>
    <s v="25/647161211/001"/>
    <x v="1"/>
    <s v="Oktober "/>
    <n v="71.66"/>
    <n v="85.28"/>
    <s v="X"/>
    <s v="A"/>
    <s v="M"/>
    <m/>
    <m/>
    <m/>
    <m/>
    <x v="9"/>
    <x v="0"/>
    <n v="13.62"/>
    <x v="1"/>
  </r>
  <r>
    <d v="2025-10-24T00:00:00"/>
    <s v="PSW Group"/>
    <s v="RG12533507"/>
    <x v="0"/>
    <s v="SSL_Zertifikat standesamt@vg-rheinauen.de"/>
    <n v="14.37"/>
    <n v="17.1"/>
    <s v="X"/>
    <s v="A"/>
    <s v="M"/>
    <m/>
    <m/>
    <m/>
    <m/>
    <x v="9"/>
    <x v="0"/>
    <n v="2.730000000000002"/>
    <x v="1"/>
  </r>
  <r>
    <d v="2025-10-28T00:00:00"/>
    <s v="Telekom"/>
    <s v="RG7877046102"/>
    <x v="1"/>
    <s v="November LU"/>
    <n v="39.9"/>
    <n v="47.48"/>
    <s v="X"/>
    <s v="A"/>
    <s v="M"/>
    <m/>
    <m/>
    <m/>
    <m/>
    <x v="9"/>
    <x v="0"/>
    <n v="7.579999999999998"/>
    <x v="1"/>
  </r>
  <r>
    <d v="2025-10-28T00:00:00"/>
    <s v="PSW Group"/>
    <s v="RG12533813"/>
    <x v="0"/>
    <s v="SSL-Zerifikat regisafe.waldfischbach-burgalben.de"/>
    <n v="13.61"/>
    <n v="16.2"/>
    <s v="X"/>
    <s v="A"/>
    <s v="M"/>
    <m/>
    <m/>
    <m/>
    <m/>
    <x v="9"/>
    <x v="0"/>
    <n v="2.59"/>
    <x v="1"/>
  </r>
  <r>
    <d v="2025-10-30T00:00:00"/>
    <s v="PSW Group"/>
    <s v="RG12534125"/>
    <x v="0"/>
    <s v="SSL-Zertifikat emmblk.uhde.de"/>
    <n v="13.61"/>
    <n v="16.2"/>
    <s v="X"/>
    <s v="A"/>
    <s v="M"/>
    <m/>
    <m/>
    <m/>
    <m/>
    <x v="9"/>
    <x v="0"/>
    <n v="2.59"/>
    <x v="1"/>
  </r>
  <r>
    <d v="2025-10-31T00:00:00"/>
    <s v="DTS NFON"/>
    <s v="25-13-116119"/>
    <x v="1"/>
    <s v="Oktober"/>
    <n v="24.63"/>
    <n v="29.31"/>
    <s v="X"/>
    <s v="A"/>
    <s v="M"/>
    <m/>
    <m/>
    <m/>
    <m/>
    <x v="9"/>
    <x v="0"/>
    <n v="4.68"/>
    <x v="1"/>
  </r>
  <r>
    <d v="2025-10-31T00:00:00"/>
    <s v="DTS NFON"/>
    <s v="25-13-123254"/>
    <x v="1"/>
    <s v="Oktober Nachberechnung"/>
    <n v="0.73"/>
    <n v="0.87"/>
    <s v="X"/>
    <s v="A"/>
    <s v="M"/>
    <m/>
    <m/>
    <m/>
    <m/>
    <x v="9"/>
    <x v="0"/>
    <n v="0.14"/>
    <x v="1"/>
  </r>
  <r>
    <d v="2025-10-31T00:00:00"/>
    <s v="DKV"/>
    <s v="25/647490339/001"/>
    <x v="1"/>
    <s v="Oktober"/>
    <n v="60.22"/>
    <n v="71.66"/>
    <s v="X"/>
    <s v="A"/>
    <s v="M"/>
    <m/>
    <m/>
    <m/>
    <m/>
    <x v="9"/>
    <x v="0"/>
    <n v="11.44"/>
    <x v="1"/>
  </r>
  <r>
    <d v="2025-11-01T00:00:00"/>
    <s v="VW Leasing"/>
    <s v="R10255164667"/>
    <x v="1"/>
    <s v="November"/>
    <n v="37.43"/>
    <n v="44.54"/>
    <s v="X"/>
    <s v="A"/>
    <s v="M"/>
    <m/>
    <m/>
    <m/>
    <m/>
    <x v="10"/>
    <x v="0"/>
    <n v="7.109999999999999"/>
    <x v="1"/>
  </r>
  <r>
    <d v="2025-11-02T00:00:00"/>
    <s v="Video4Net"/>
    <s v="GM-8379"/>
    <x v="1"/>
    <s v="September"/>
    <n v="45"/>
    <n v="53.55"/>
    <s v="X"/>
    <s v="Z"/>
    <s v="M"/>
    <m/>
    <m/>
    <m/>
    <m/>
    <x v="10"/>
    <x v="0"/>
    <n v="8.549999999999997"/>
    <x v="1"/>
  </r>
  <r>
    <d v="2025-11-03T00:00:00"/>
    <s v="Haus&amp;Grund"/>
    <s v="Miete 11/2025"/>
    <x v="1"/>
    <s v="Miete"/>
    <n v="225"/>
    <n v="225"/>
    <s v="X"/>
    <s v="D"/>
    <s v="M"/>
    <m/>
    <m/>
    <m/>
    <m/>
    <x v="10"/>
    <x v="0"/>
    <n v="0"/>
    <x v="0"/>
  </r>
  <r>
    <d v="2025-11-03T00:00:00"/>
    <s v="API"/>
    <s v="R14477858"/>
    <x v="0"/>
    <s v="U(biquiti Cloud Key G2"/>
    <n v="121.21"/>
    <n v="144.24"/>
    <s v="X"/>
    <s v="Z"/>
    <s v="M"/>
    <m/>
    <m/>
    <m/>
    <m/>
    <x v="10"/>
    <x v="0"/>
    <n v="23.03000000000002"/>
    <x v="1"/>
  </r>
  <r>
    <d v="2025-11-04T00:00:00"/>
    <s v="TDSynex"/>
    <s v="R8275972407"/>
    <x v="0"/>
    <s v="2x HP Care Pack "/>
    <n v="75.88"/>
    <n v="90.3"/>
    <s v="X"/>
    <s v="Z"/>
    <s v="M"/>
    <m/>
    <m/>
    <m/>
    <m/>
    <x v="10"/>
    <x v="0"/>
    <n v="14.42"/>
    <x v="1"/>
  </r>
  <r>
    <d v="2025-11-05T00:00:00"/>
    <s v="API"/>
    <s v="R14487497"/>
    <x v="0"/>
    <s v="8TB Seagate "/>
    <n v="175.03"/>
    <n v="208.29"/>
    <s v="X"/>
    <s v="Z"/>
    <s v="M"/>
    <m/>
    <m/>
    <m/>
    <m/>
    <x v="10"/>
    <x v="0"/>
    <n v="33.25999999999999"/>
    <x v="1"/>
  </r>
  <r>
    <d v="2025-11-05T00:00:00"/>
    <s v="OpenAI"/>
    <s v="7J06MMBJ-0007"/>
    <x v="1"/>
    <s v="ChatGpt bis 5.12.2025"/>
    <n v="17.43"/>
    <n v="17.43"/>
    <s v="X"/>
    <s v="A"/>
    <s v="M"/>
    <m/>
    <m/>
    <m/>
    <s v="FX"/>
    <x v="10"/>
    <x v="0"/>
    <n v="0"/>
    <x v="0"/>
  </r>
  <r>
    <d v="2025-11-06T00:00:00"/>
    <s v="API"/>
    <s v="R14492463"/>
    <x v="0"/>
    <s v="4 x mobile WD Festplatten 8TB"/>
    <n v="597.72"/>
    <n v="711.29"/>
    <s v="X"/>
    <s v="Z"/>
    <s v="M"/>
    <m/>
    <m/>
    <m/>
    <m/>
    <x v="10"/>
    <x v="0"/>
    <n v="113.5699999999999"/>
    <x v="1"/>
  </r>
  <r>
    <d v="2025-11-06T00:00:00"/>
    <s v="API"/>
    <s v="R14493893"/>
    <x v="0"/>
    <s v="HP Pro 400 G11"/>
    <n v="826.35"/>
    <n v="983.36"/>
    <s v="X"/>
    <s v="Z"/>
    <s v="M"/>
    <m/>
    <m/>
    <m/>
    <m/>
    <x v="10"/>
    <x v="0"/>
    <n v="157.01"/>
    <x v="1"/>
  </r>
  <r>
    <d v="2025-11-08T00:00:00"/>
    <s v="Wortmann"/>
    <s v="DR8994869"/>
    <x v="0"/>
    <s v="Corbonite Backup VEH Oktober"/>
    <n v="14.9"/>
    <n v="17.73"/>
    <s v="X"/>
    <s v="A"/>
    <s v="M"/>
    <m/>
    <m/>
    <m/>
    <m/>
    <x v="10"/>
    <x v="0"/>
    <n v="2.83"/>
    <x v="1"/>
  </r>
  <r>
    <d v="2025-11-10T00:00:00"/>
    <s v="Ratiokontakt"/>
    <s v="R10890695"/>
    <x v="0"/>
    <s v="bis 14.11.2026"/>
    <n v="36.98"/>
    <n v="44.01"/>
    <s v="X"/>
    <s v="A"/>
    <s v="M"/>
    <m/>
    <m/>
    <m/>
    <m/>
    <x v="10"/>
    <x v="0"/>
    <n v="7.030000000000001"/>
    <x v="1"/>
  </r>
  <r>
    <d v="2025-11-12T00:00:00"/>
    <s v="Ramgesoft"/>
    <s v="RE200104391"/>
    <x v="0"/>
    <s v="Patchmanager"/>
    <n v="716.4"/>
    <n v="852.52"/>
    <s v="X"/>
    <s v="Z"/>
    <s v="M"/>
    <m/>
    <m/>
    <m/>
    <m/>
    <x v="10"/>
    <x v="0"/>
    <n v="136.12"/>
    <x v="1"/>
  </r>
  <r>
    <d v="2025-11-11T00:00:00"/>
    <s v="KSEnergy (ebay)"/>
    <s v="R2485805"/>
    <x v="0"/>
    <s v="Win10 Key"/>
    <n v="3.36"/>
    <n v="4"/>
    <s v="X"/>
    <s v="A"/>
    <s v="M"/>
    <m/>
    <m/>
    <m/>
    <m/>
    <x v="10"/>
    <x v="0"/>
    <n v="0.6400000000000001"/>
    <x v="1"/>
  </r>
  <r>
    <d v="2025-11-12T00:00:00"/>
    <s v="Systeam"/>
    <s v="R50486480"/>
    <x v="0"/>
    <s v="Toner Gelb Oki C610"/>
    <n v="191.27"/>
    <n v="227.61"/>
    <s v="X"/>
    <s v="Z"/>
    <s v="M"/>
    <m/>
    <m/>
    <m/>
    <m/>
    <x v="10"/>
    <x v="0"/>
    <n v="36.34"/>
    <x v="1"/>
  </r>
  <r>
    <d v="2025-11-12T00:00:00"/>
    <s v="Telekom"/>
    <s v="35 2702 1300 0551"/>
    <x v="1"/>
    <s v="Schulze Mobil Oktober"/>
    <n v="12.56"/>
    <n v="14.95"/>
    <s v="X"/>
    <s v="A"/>
    <s v="M"/>
    <m/>
    <m/>
    <m/>
    <m/>
    <x v="10"/>
    <x v="0"/>
    <n v="2.389999999999999"/>
    <x v="1"/>
  </r>
  <r>
    <d v="2025-11-13T00:00:00"/>
    <s v="Telekom"/>
    <s v="788 684 4864"/>
    <x v="1"/>
    <s v="Schulze November"/>
    <n v="33.84"/>
    <n v="40.27"/>
    <s v="X"/>
    <s v="A"/>
    <s v="M"/>
    <m/>
    <m/>
    <m/>
    <m/>
    <x v="10"/>
    <x v="0"/>
    <n v="6.43"/>
    <x v="1"/>
  </r>
  <r>
    <d v="2025-11-14T00:00:00"/>
    <s v="API"/>
    <s v="R14516518"/>
    <x v="0"/>
    <s v="HP-Core-Pack 3 Jahre Notebook"/>
    <n v="55.68"/>
    <n v="66.26000000000001"/>
    <s v="X"/>
    <s v="Z"/>
    <s v="M"/>
    <m/>
    <m/>
    <m/>
    <m/>
    <x v="10"/>
    <x v="0"/>
    <n v="10.58000000000001"/>
    <x v="1"/>
  </r>
  <r>
    <d v="2025-11-14T00:00:00"/>
    <s v="Sage"/>
    <s v="2026-1028255"/>
    <x v="1"/>
    <s v="Sage HR Cloud 2 MA"/>
    <n v="15.5"/>
    <n v="18.45"/>
    <s v="X"/>
    <s v="A"/>
    <s v="M"/>
    <m/>
    <m/>
    <m/>
    <m/>
    <x v="10"/>
    <x v="0"/>
    <n v="2.949999999999999"/>
    <x v="1"/>
  </r>
  <r>
    <d v="2025-11-14T00:00:00"/>
    <s v="Blau"/>
    <s v="1407303210/08"/>
    <x v="1"/>
    <s v="Umstellung 5G"/>
    <n v="6.93"/>
    <n v="8.25"/>
    <s v="X"/>
    <s v="A"/>
    <s v="M"/>
    <m/>
    <m/>
    <m/>
    <m/>
    <x v="10"/>
    <x v="0"/>
    <n v="1.32"/>
    <x v="1"/>
  </r>
  <r>
    <d v="2025-11-15T00:00:00"/>
    <s v="GEZ"/>
    <s v="Q1/2025"/>
    <x v="1"/>
    <s v="Rundfunkbeitrag "/>
    <n v="91.8"/>
    <n v="91.8"/>
    <s v="X"/>
    <s v="A"/>
    <s v="M"/>
    <m/>
    <m/>
    <m/>
    <m/>
    <x v="10"/>
    <x v="0"/>
    <n v="0"/>
    <x v="0"/>
  </r>
  <r>
    <d v="2025-11-17T00:00:00"/>
    <s v="Wolkesicher"/>
    <s v="R403152"/>
    <x v="1"/>
    <s v="Dezember"/>
    <n v="4.19"/>
    <n v="4.99"/>
    <s v="X"/>
    <s v="A"/>
    <s v="M"/>
    <m/>
    <m/>
    <m/>
    <m/>
    <x v="10"/>
    <x v="0"/>
    <n v="0.7999999999999998"/>
    <x v="1"/>
  </r>
  <r>
    <d v="2025-11-17T00:00:00"/>
    <s v="IngramMicro"/>
    <s v="44-3247972"/>
    <x v="0"/>
    <s v="SUSE Subskription"/>
    <n v="248.98"/>
    <n v="296.29"/>
    <s v="X"/>
    <s v="Z"/>
    <s v="M"/>
    <m/>
    <m/>
    <m/>
    <m/>
    <x v="10"/>
    <x v="0"/>
    <n v="47.31000000000003"/>
    <x v="1"/>
  </r>
  <r>
    <d v="2025-11-17T00:00:00"/>
    <s v="Anthropic"/>
    <s v="JOH4P0JW-0001"/>
    <x v="1"/>
    <s v="Claude.AI"/>
    <n v="18"/>
    <n v="18"/>
    <s v="X"/>
    <s v="A"/>
    <s v="M"/>
    <m/>
    <m/>
    <m/>
    <s v="FX"/>
    <x v="10"/>
    <x v="0"/>
    <n v="0"/>
    <x v="0"/>
  </r>
  <r>
    <d v="2025-11-18T00:00:00"/>
    <s v="Telekom"/>
    <s v="R7889593750"/>
    <x v="1"/>
    <s v="LU November"/>
    <n v="37.77"/>
    <n v="44.95"/>
    <s v="X"/>
    <s v="A"/>
    <s v="M"/>
    <m/>
    <m/>
    <m/>
    <m/>
    <x v="10"/>
    <x v="0"/>
    <n v="7.18"/>
    <x v="1"/>
  </r>
  <r>
    <d v="2025-11-15T00:00:00"/>
    <s v="DKV"/>
    <s v="25-647698769-001"/>
    <x v="1"/>
    <s v="November"/>
    <n v="198.23"/>
    <n v="235.89"/>
    <s v="X"/>
    <s v="A"/>
    <s v="M"/>
    <m/>
    <m/>
    <m/>
    <m/>
    <x v="10"/>
    <x v="0"/>
    <n v="37.66"/>
    <x v="1"/>
  </r>
  <r>
    <d v="2025-11-24T00:00:00"/>
    <s v="MH Bensheim"/>
    <s v="R0019043"/>
    <x v="1"/>
    <s v="Radwechsel+Einlagerung Sommer LU UH 400"/>
    <n v="95.8"/>
    <n v="114"/>
    <s v="X"/>
    <s v="Z"/>
    <s v="M"/>
    <m/>
    <m/>
    <m/>
    <m/>
    <x v="10"/>
    <x v="0"/>
    <n v="18.2"/>
    <x v="1"/>
  </r>
  <r>
    <d v="2025-11-24T00:00:00"/>
    <s v="Anthropic"/>
    <s v="JOH4P9JW-0002"/>
    <x v="1"/>
    <s v="Zusatzvolumen Claude.ai"/>
    <n v="5"/>
    <n v="5"/>
    <s v="X"/>
    <s v="A"/>
    <s v="M"/>
    <m/>
    <m/>
    <m/>
    <s v="FX"/>
    <x v="10"/>
    <x v="0"/>
    <n v="0"/>
    <x v="0"/>
  </r>
  <r>
    <d v="2025-11-25T00:00:00"/>
    <s v="Telekom"/>
    <s v="R7893416597"/>
    <x v="1"/>
    <s v="Dezember LU"/>
    <n v="39.9"/>
    <n v="47.48"/>
    <s v="X"/>
    <s v="A"/>
    <s v="M"/>
    <m/>
    <m/>
    <m/>
    <m/>
    <x v="10"/>
    <x v="0"/>
    <n v="7.579999999999998"/>
    <x v="1"/>
  </r>
  <r>
    <d v="2025-11-25T00:00:00"/>
    <s v="TDSynex"/>
    <s v="R8276697644"/>
    <x v="0"/>
    <s v="2 PCs  Hauck"/>
    <n v="1412.71"/>
    <n v="1681.16"/>
    <s v="X"/>
    <s v="Z"/>
    <s v="M"/>
    <m/>
    <m/>
    <m/>
    <m/>
    <x v="10"/>
    <x v="0"/>
    <n v="268.45"/>
    <x v="1"/>
  </r>
  <r>
    <d v="2025-11-20T00:00:00"/>
    <s v="HUK24"/>
    <s v="660/584012-Q"/>
    <x v="1"/>
    <s v="LU UH400 2026"/>
    <n v="1502.92"/>
    <n v="1502.92"/>
    <s v="EX"/>
    <s v="A"/>
    <s v="M"/>
    <d v="2026-01-02T00:00:00"/>
    <m/>
    <m/>
    <m/>
    <x v="10"/>
    <x v="0"/>
    <n v="0"/>
    <x v="0"/>
  </r>
  <r>
    <d v="2025-11-20T00:00:00"/>
    <s v="HUK24"/>
    <s v="661/238366-U"/>
    <x v="1"/>
    <s v="LU UH200 2026"/>
    <n v="726.65"/>
    <n v="726.65"/>
    <s v="EX"/>
    <s v="A"/>
    <s v="M"/>
    <d v="2026-01-02T00:00:00"/>
    <m/>
    <m/>
    <m/>
    <x v="10"/>
    <x v="0"/>
    <n v="0"/>
    <x v="0"/>
  </r>
  <r>
    <d v="2025-11-25T00:00:00"/>
    <s v="TDSynex"/>
    <s v="R8276733754"/>
    <x v="0"/>
    <s v="Veeam-Wartung 3 Jahre WFB"/>
    <n v="5463.9"/>
    <n v="6502.04"/>
    <s v="X"/>
    <s v="Z"/>
    <s v="M"/>
    <m/>
    <m/>
    <m/>
    <m/>
    <x v="10"/>
    <x v="0"/>
    <n v="1038.14"/>
    <x v="1"/>
  </r>
  <r>
    <d v="2025-11-30T00:00:00"/>
    <s v="DTS NFON"/>
    <s v="25-23-128062"/>
    <x v="1"/>
    <s v="November"/>
    <n v="28.85"/>
    <n v="34.33"/>
    <s v="X"/>
    <s v="A"/>
    <s v="M"/>
    <m/>
    <m/>
    <m/>
    <m/>
    <x v="10"/>
    <x v="0"/>
    <n v="5.479999999999997"/>
    <x v="1"/>
  </r>
  <r>
    <d v="2025-11-30T00:00:00"/>
    <s v="DKV"/>
    <s v="25-648112100-001"/>
    <x v="1"/>
    <s v="November"/>
    <n v="111.69"/>
    <n v="132.91"/>
    <s v="X"/>
    <s v="A"/>
    <s v="M"/>
    <m/>
    <m/>
    <m/>
    <m/>
    <x v="10"/>
    <x v="0"/>
    <n v="21.22"/>
    <x v="1"/>
  </r>
  <r>
    <d v="2025-12-01T00:00:00"/>
    <s v="FinBC"/>
    <s v="SJMAOFZB-0006"/>
    <x v="0"/>
    <s v="rechnungsapi.de 12/2025"/>
    <n v="8.390000000000001"/>
    <n v="9.99"/>
    <s v="X"/>
    <s v="A"/>
    <s v="M"/>
    <m/>
    <m/>
    <m/>
    <s v="FX"/>
    <x v="11"/>
    <x v="0"/>
    <n v="1.6"/>
    <x v="1"/>
  </r>
  <r>
    <d v="2025-12-01T00:00:00"/>
    <s v="VW Leasing"/>
    <s v="R10256773814"/>
    <x v="1"/>
    <s v="Monat 12/2025"/>
    <n v="37.43"/>
    <n v="44.54"/>
    <s v="X"/>
    <s v="A"/>
    <s v="M"/>
    <m/>
    <m/>
    <m/>
    <m/>
    <x v="11"/>
    <x v="0"/>
    <n v="7.109999999999999"/>
    <x v="1"/>
  </r>
  <r>
    <d v="2025-12-01T00:00:00"/>
    <s v="Gandenberger"/>
    <s v="R11080058"/>
    <x v="1"/>
    <s v="LU UH 200 Inspektion"/>
    <n v="158.8"/>
    <n v="188.97"/>
    <s v="X"/>
    <s v="Z"/>
    <s v="M"/>
    <m/>
    <m/>
    <m/>
    <m/>
    <x v="11"/>
    <x v="0"/>
    <n v="30.16999999999999"/>
    <x v="1"/>
  </r>
  <r>
    <d v="2025-12-01T00:00:00"/>
    <s v="Gandenberger"/>
    <s v="R11080058"/>
    <x v="1"/>
    <s v="LU UH 400 TÜV"/>
    <n v="103"/>
    <n v="103"/>
    <s v="X"/>
    <s v="Z"/>
    <s v="M"/>
    <m/>
    <m/>
    <m/>
    <m/>
    <x v="11"/>
    <x v="0"/>
    <n v="0"/>
    <x v="0"/>
  </r>
  <r>
    <d v="2025-12-01T00:00:00"/>
    <s v="Volkswagen"/>
    <s v="R0381251000235110"/>
    <x v="1"/>
    <s v="WeConnect Plus"/>
    <n v="158.82"/>
    <n v="189"/>
    <s v="X"/>
    <s v="A"/>
    <s v="M"/>
    <m/>
    <m/>
    <m/>
    <m/>
    <x v="11"/>
    <x v="0"/>
    <n v="30.18000000000001"/>
    <x v="1"/>
  </r>
  <r>
    <d v="2025-12-01T00:00:00"/>
    <s v="Volkswagen"/>
    <s v="R0381251000235229"/>
    <x v="1"/>
    <s v="Sprachbedienung"/>
    <n v="184.03"/>
    <n v="219"/>
    <s v="X"/>
    <s v="A"/>
    <s v="M"/>
    <m/>
    <m/>
    <m/>
    <m/>
    <x v="11"/>
    <x v="0"/>
    <n v="34.97"/>
    <x v="1"/>
  </r>
  <r>
    <d v="2025-12-02T00:00:00"/>
    <s v="Haus&amp;Grund"/>
    <s v="Miete 11/2025"/>
    <x v="1"/>
    <s v="Miete"/>
    <n v="225"/>
    <n v="225"/>
    <s v="X"/>
    <s v="A"/>
    <s v="M"/>
    <m/>
    <m/>
    <m/>
    <m/>
    <x v="11"/>
    <x v="0"/>
    <n v="0"/>
    <x v="0"/>
  </r>
  <r>
    <d v="2025-12-02T00:00:00"/>
    <s v="Strom"/>
    <s v="Strom"/>
    <x v="4"/>
    <s v="Summe der Abbuchungen /Rückzahlungen 2025"/>
    <n v="687.61"/>
    <n v="687.61"/>
    <s v="X"/>
    <s v="A"/>
    <s v="M"/>
    <m/>
    <m/>
    <m/>
    <m/>
    <x v="11"/>
    <x v="0"/>
    <n v="0"/>
    <x v="0"/>
  </r>
  <r>
    <d v="2025-12-06T00:00:00"/>
    <s v="Wortmann"/>
    <s v="DR9054308"/>
    <x v="0"/>
    <s v="Terracloud M365 Bavkup VEH"/>
    <n v="14.9"/>
    <n v="17.73"/>
    <s v="X"/>
    <s v="Z"/>
    <s v="M"/>
    <m/>
    <m/>
    <m/>
    <m/>
    <x v="11"/>
    <x v="0"/>
    <n v="2.83"/>
    <x v="1"/>
  </r>
  <r>
    <d v="2025-12-08T00:00:00"/>
    <s v="BFS finance"/>
    <s v="FI14612210"/>
    <x v="0"/>
    <s v="3 x HP Zbook Power 16G11A API GmbH"/>
    <n v="7128"/>
    <n v="8482.32"/>
    <s v="X"/>
    <s v="Z"/>
    <s v="M"/>
    <d v="2026-01-06T00:00:00"/>
    <s v="API GmbH"/>
    <s v="DE16478400804156727358"/>
    <m/>
    <x v="11"/>
    <x v="0"/>
    <n v="1354.32"/>
    <x v="1"/>
  </r>
  <r>
    <d v="2025-12-09T00:00:00"/>
    <s v="Telekom"/>
    <s v="R35382555000551"/>
    <x v="1"/>
    <s v="Schulze Mobil "/>
    <n v="12.59"/>
    <n v="14.95"/>
    <s v="X"/>
    <s v="A"/>
    <s v="M"/>
    <d v="2025-12-19T00:00:00"/>
    <m/>
    <m/>
    <m/>
    <x v="11"/>
    <x v="0"/>
    <n v="2.359999999999999"/>
    <x v="1"/>
  </r>
  <r>
    <d v="2025-12-10T00:00:00"/>
    <s v="Hetzner"/>
    <s v="R087000641262"/>
    <x v="0"/>
    <s v="Oktober/November"/>
    <n v="6.38"/>
    <n v="7.6"/>
    <s v="X"/>
    <s v="A"/>
    <s v="M"/>
    <m/>
    <m/>
    <m/>
    <m/>
    <x v="11"/>
    <x v="0"/>
    <n v="1.22"/>
    <x v="1"/>
  </r>
  <r>
    <d v="2025-12-10T00:00:00"/>
    <s v="Ratiokontakt"/>
    <s v="R10893168"/>
    <x v="0"/>
    <s v="Resellerweb bis 16.12.2025"/>
    <n v="29.9"/>
    <n v="35.58"/>
    <s v="X"/>
    <s v="A"/>
    <s v="M"/>
    <m/>
    <m/>
    <m/>
    <m/>
    <x v="11"/>
    <x v="0"/>
    <n v="5.68"/>
    <x v="1"/>
  </r>
  <r>
    <d v="2025-12-11T00:00:00"/>
    <s v="Telekom"/>
    <s v="R720 315 6347"/>
    <x v="1"/>
    <s v="Schulze Dezember"/>
    <n v="33.81"/>
    <n v="40.23"/>
    <s v="X"/>
    <s v="A"/>
    <s v="M"/>
    <m/>
    <m/>
    <m/>
    <m/>
    <x v="11"/>
    <x v="0"/>
    <n v="6.419999999999995"/>
    <x v="1"/>
  </r>
  <r>
    <d v="2025-12-11T00:00:00"/>
    <s v="Vendosoft"/>
    <s v="RG-1-2025-4815"/>
    <x v="0"/>
    <s v="2 x Office 2024 LTSC gebraucht"/>
    <n v="508"/>
    <n v="604.52"/>
    <s v="X"/>
    <s v="Z"/>
    <s v="M"/>
    <d v="2025-12-17T00:00:00"/>
    <s v="Office 204"/>
    <s v="DE68720200700022580493"/>
    <m/>
    <x v="11"/>
    <x v="0"/>
    <n v="96.51999999999998"/>
    <x v="1"/>
  </r>
  <r>
    <d v="2025-12-12T00:00:00"/>
    <s v="Systeam"/>
    <s v="RG 50538924"/>
    <x v="0"/>
    <s v="Hardware Zubehör"/>
    <n v="48.27"/>
    <n v="57.44"/>
    <s v="X"/>
    <s v="Z"/>
    <s v="M"/>
    <d v="2025-12-19T00:00:00"/>
    <m/>
    <s v="DE32770200700363106897"/>
    <m/>
    <x v="11"/>
    <x v="0"/>
    <n v="9.169999999999995"/>
    <x v="1"/>
  </r>
  <r>
    <d v="2025-12-12T00:00:00"/>
    <s v="Vendosoft"/>
    <s v="RG-1-2025-4845"/>
    <x v="0"/>
    <s v="Visio 2024 LTSC für wfb"/>
    <n v="399"/>
    <n v="474.81"/>
    <s v="X"/>
    <s v="Z"/>
    <s v="M"/>
    <d v="2025-12-18T00:00:00"/>
    <s v="Visio 2024"/>
    <s v="DE68720200700022580493"/>
    <m/>
    <x v="11"/>
    <x v="0"/>
    <n v="75.81"/>
    <x v="1"/>
  </r>
  <r>
    <d v="2025-12-13T00:00:00"/>
    <s v="Blau"/>
    <s v="1432860421/08"/>
    <x v="1"/>
    <s v="1432860421/08"/>
    <n v="11.48"/>
    <n v="13.66"/>
    <s v="X"/>
    <s v="A"/>
    <s v="M"/>
    <m/>
    <m/>
    <m/>
    <m/>
    <x v="11"/>
    <x v="0"/>
    <n v="2.18"/>
    <x v="1"/>
  </r>
  <r>
    <d v="2025-12-14T00:00:00"/>
    <s v="openart.ai"/>
    <s v="M2Y0GPHY-0001"/>
    <x v="1"/>
    <s v="Video AI Test"/>
    <n v="11.95"/>
    <n v="11.95"/>
    <s v="X"/>
    <s v="A"/>
    <s v="M"/>
    <m/>
    <m/>
    <m/>
    <s v="FX"/>
    <x v="11"/>
    <x v="0"/>
    <n v="0"/>
    <x v="0"/>
  </r>
  <r>
    <d v="2025-12-15T00:00:00"/>
    <s v="OPenAI"/>
    <s v="42FAAA25-0001"/>
    <x v="1"/>
    <s v="API-Keys für OpenAI"/>
    <n v="4.27"/>
    <n v="5.08"/>
    <s v="X"/>
    <s v="A"/>
    <s v="M"/>
    <m/>
    <m/>
    <m/>
    <s v="FX"/>
    <x v="11"/>
    <x v="0"/>
    <n v="0.8100000000000005"/>
    <x v="1"/>
  </r>
  <r>
    <d v="2025-12-16T00:00:00"/>
    <s v="Telekom"/>
    <s v="720 591 8198"/>
    <x v="1"/>
    <s v="Büro LU Dezember"/>
    <n v="39.84"/>
    <n v="47.41"/>
    <s v="X"/>
    <s v="A"/>
    <s v="M"/>
    <m/>
    <m/>
    <m/>
    <m/>
    <x v="11"/>
    <x v="0"/>
    <n v="7.569999999999993"/>
    <x v="1"/>
  </r>
  <r>
    <d v="2025-12-15T00:00:00"/>
    <s v="Sage"/>
    <s v="2026-1052546"/>
    <x v="1"/>
    <s v="HR Cloud 12/2025"/>
    <n v="15.5"/>
    <n v="18.45"/>
    <s v="EX"/>
    <s v="A"/>
    <s v="M"/>
    <d v="2026-01-02T00:00:00"/>
    <m/>
    <m/>
    <m/>
    <x v="11"/>
    <x v="0"/>
    <n v="2.949999999999999"/>
    <x v="1"/>
  </r>
  <r>
    <d v="2025-12-17T00:00:00"/>
    <s v="MH Bensheim"/>
    <s v="R0019376"/>
    <x v="1"/>
    <s v="Inspektion &amp; Getriebeölwechsel"/>
    <n v="899.53"/>
    <n v="1070.44"/>
    <s v="X"/>
    <s v="Z"/>
    <s v="M"/>
    <d v="2025-12-30T00:00:00"/>
    <m/>
    <s v="DE93100100100779987130"/>
    <m/>
    <x v="11"/>
    <x v="0"/>
    <n v="170.9100000000001"/>
    <x v="1"/>
  </r>
  <r>
    <d v="2025-12-17T00:00:00"/>
    <s v="Sage  "/>
    <s v="2026-1065337"/>
    <x v="0"/>
    <s v="Sage100 2Benutzer RHA"/>
    <n v="641"/>
    <n v="762.79"/>
    <s v="EX"/>
    <s v="Z"/>
    <s v="M"/>
    <d v="2026-02-01T00:00:00"/>
    <m/>
    <m/>
    <m/>
    <x v="11"/>
    <x v="0"/>
    <n v="121.79"/>
    <x v="1"/>
  </r>
  <r>
    <d v="2025-12-17T00:00:00"/>
    <s v="Anthropic"/>
    <s v="JOH4P0JW-0004"/>
    <x v="1"/>
    <s v="Claude.AI"/>
    <n v="18"/>
    <n v="18"/>
    <s v="X"/>
    <s v="A"/>
    <s v="M"/>
    <m/>
    <m/>
    <m/>
    <s v="FX"/>
    <x v="11"/>
    <x v="0"/>
    <n v="0"/>
    <x v="0"/>
  </r>
  <r>
    <d v="2025-12-18T00:00:00"/>
    <s v="Wolkesicher"/>
    <s v="R5406225"/>
    <x v="1"/>
    <s v="nc2.uhde.de Bis 31.01.2026"/>
    <n v="4.19"/>
    <n v="4.99"/>
    <s v="EX"/>
    <s v="A"/>
    <s v="M"/>
    <d v="2026-01-02T00:00:00"/>
    <m/>
    <m/>
    <m/>
    <x v="11"/>
    <x v="0"/>
    <n v="0.7999999999999998"/>
    <x v="1"/>
  </r>
  <r>
    <d v="2025-12-19T00:00:00"/>
    <s v="DKV"/>
    <s v="25-648362686-001"/>
    <x v="5"/>
    <s v="Dezember"/>
    <n v="125.98"/>
    <n v="149.92"/>
    <s v="EX"/>
    <s v="A"/>
    <s v="M"/>
    <d v="2025-12-29T00:00:00"/>
    <m/>
    <m/>
    <m/>
    <x v="11"/>
    <x v="0"/>
    <n v="23.93999999999998"/>
    <x v="1"/>
  </r>
  <r>
    <d v="2025-12-23T00:00:00"/>
    <s v="Telekom"/>
    <s v="R7209664857"/>
    <x v="1"/>
    <s v="Büro LU Januar"/>
    <n v="39.9"/>
    <n v="47.48"/>
    <s v="EX"/>
    <s v="A"/>
    <s v="M"/>
    <d v="2026-01-08T00:00:00"/>
    <m/>
    <m/>
    <m/>
    <x v="11"/>
    <x v="0"/>
    <n v="7.579999999999998"/>
    <x v="1"/>
  </r>
  <r>
    <d v="2025-12-23T00:00:00"/>
    <s v="BFS finance GmbH"/>
    <s v="FI14612210"/>
    <x v="2"/>
    <s v="Ubiqity Controller &amp; Wartumgskit Brother"/>
    <n v="138.99"/>
    <n v="165.4"/>
    <s v="UX"/>
    <s v="Z"/>
    <m/>
    <d v="2026-01-23T00:00:00"/>
    <s v="API GmbH"/>
    <s v="DE16478400804156727358"/>
    <m/>
    <x v="11"/>
    <x v="0"/>
    <n v="26.41"/>
    <x v="1"/>
  </r>
  <r>
    <d v="2025-12-30T00:00:00"/>
    <s v="Haus&amp;Grund"/>
    <s v="R30.12.20253006"/>
    <x v="2"/>
    <s v="Nebenkostenabrechnung 2024"/>
    <n v="567.4299999999999"/>
    <n v="567.4299999999999"/>
    <s v="UX"/>
    <s v="Z"/>
    <m/>
    <d v="2026-01-30T00:00:00"/>
    <s v="Wg-Nr 3006"/>
    <s v="DE47545500100000071910"/>
    <m/>
    <x v="11"/>
    <x v="0"/>
    <n v="0"/>
    <x v="0"/>
  </r>
  <r>
    <d v="2025-12-31T00:00:00"/>
    <s v="NFON"/>
    <s v="25-13-146970"/>
    <x v="1"/>
    <s v="Dezember"/>
    <n v="28.29"/>
    <n v="33.67"/>
    <s v="EX"/>
    <s v="A"/>
    <m/>
    <d v="2026-01-10T00:00:00"/>
    <m/>
    <m/>
    <m/>
    <x v="11"/>
    <x v="0"/>
    <n v="5.380000000000003"/>
    <x v="1"/>
  </r>
  <r>
    <d v="2025-12-31T00:00:00"/>
    <s v="DKV"/>
    <s v="25-648807063-001"/>
    <x v="1"/>
    <s v="Dezember"/>
    <n v="151.88"/>
    <n v="180.74"/>
    <s v="EX"/>
    <s v="A"/>
    <m/>
    <d v="2026-01-12T00:00:00"/>
    <m/>
    <m/>
    <m/>
    <x v="11"/>
    <x v="0"/>
    <n v="28.86000000000001"/>
    <x v="1"/>
  </r>
  <r>
    <d v="2026-01-01T00:00:00"/>
    <s v="FinBC"/>
    <s v="SJMAOFZB-0006"/>
    <x v="0"/>
    <s v="rechnungsapi.de 12/2025"/>
    <n v="8.390000000000001"/>
    <n v="9.99"/>
    <s v="EX"/>
    <s v="K"/>
    <m/>
    <d v="2026-01-01T00:00:00"/>
    <m/>
    <m/>
    <s v="FX"/>
    <x v="0"/>
    <x v="1"/>
    <n v="1.6"/>
    <x v="1"/>
  </r>
  <r>
    <d v="2026-01-02T00:00:00"/>
    <s v="Apptec360"/>
    <s v="RE-2026-1-27064"/>
    <x v="0"/>
    <s v="Apptec360 01.01.2026 - 31.12.2026 BLK"/>
    <n v="2864.4"/>
    <n v="2864.4"/>
    <s v="UX"/>
    <s v="Z"/>
    <m/>
    <d v="2026-01-14T00:00:00"/>
    <m/>
    <s v="CH940023323311007760V"/>
    <m/>
    <x v="0"/>
    <x v="1"/>
    <n v="0"/>
    <x v="0"/>
  </r>
  <r>
    <d v="2026-01-01T00:00:00"/>
    <s v="VW Leasing"/>
    <s v="R10258317879"/>
    <x v="1"/>
    <s v="Monat 01/2026"/>
    <n v="37.43"/>
    <n v="44.54"/>
    <s v="EX"/>
    <s v="A"/>
    <m/>
    <d v="2026-01-08T00:00:00"/>
    <m/>
    <m/>
    <m/>
    <x v="0"/>
    <x v="1"/>
    <n v="7.109999999999999"/>
    <x v="1"/>
  </r>
  <r>
    <d v="2026-01-01T00:00:00"/>
    <s v="Splashtop"/>
    <s v="02TP260101978042"/>
    <x v="0"/>
    <s v="Splashtop 3User"/>
    <n v="405"/>
    <n v="405"/>
    <s v="EX"/>
    <s v="A"/>
    <m/>
    <d v="2026-01-05T00:00:00"/>
    <m/>
    <m/>
    <m/>
    <x v="0"/>
    <x v="1"/>
    <n v="0"/>
    <x v="0"/>
  </r>
  <r>
    <d v="2026-01-04T00:00:00"/>
    <s v="GS1 Aisbl"/>
    <s v="2026-120660"/>
    <x v="1"/>
    <s v="LEI.Direct gebühr 2026"/>
    <n v="59"/>
    <n v="59"/>
    <s v="EX"/>
    <s v="K"/>
    <m/>
    <d v="2026-01-04T00:00:00"/>
    <m/>
    <m/>
    <s v="FX"/>
    <x v="0"/>
    <x v="1"/>
    <n v="0"/>
    <x v="0"/>
  </r>
  <r>
    <d v="2026-01-05T00:00:00"/>
    <s v="BFS Finance GmbH"/>
    <s v="R14684526"/>
    <x v="0"/>
    <s v="2 x USB-WLAN"/>
    <n v="31.85"/>
    <n v="37.9"/>
    <s v="UX"/>
    <s v="Z"/>
    <m/>
    <d v="2026-02-04T00:00:00"/>
    <s v="API GmbH"/>
    <s v="DE16478400804156727358"/>
    <m/>
    <x v="0"/>
    <x v="1"/>
    <n v="6.049999999999997"/>
    <x v="1"/>
  </r>
  <r>
    <d v="2026-01-05T00:00:00"/>
    <s v="OPenAI"/>
    <s v="7J06MMBJ-0009"/>
    <x v="1"/>
    <s v="Januar 20$"/>
    <n v="17.08"/>
    <n v="17.08"/>
    <s v="EX"/>
    <s v="A"/>
    <m/>
    <d v="2026-01-05T00:00:00"/>
    <s v="ChatGPT"/>
    <m/>
    <s v="FX"/>
    <x v="0"/>
    <x v="1"/>
    <n v="0"/>
    <x v="0"/>
  </r>
  <r>
    <d v="2026-01-01T00:00:00"/>
    <s v="FP Digital"/>
    <s v="CBR-20260101-18560"/>
    <x v="0"/>
    <s v="FP Sign Business Benutzerlizenz"/>
    <n v="335.16"/>
    <n v="398.84"/>
    <s v="UX"/>
    <s v="Z"/>
    <m/>
    <d v="2026-01-14T00:00:00"/>
    <m/>
    <s v="DE03100100100859931106"/>
    <m/>
    <x v="0"/>
    <x v="1"/>
    <n v="63.67999999999995"/>
    <x v="1"/>
  </r>
  <r>
    <d v="2026-01-12T00:00:00"/>
    <s v="Ratiokontakt"/>
    <s v="R10895589"/>
    <x v="0"/>
    <s v="ResellerWeb bis 16.01.2026"/>
    <n v="29.9"/>
    <n v="35.58"/>
    <s v="EX"/>
    <s v="Z"/>
    <m/>
    <d v="2026-01-16T00:00:00"/>
    <m/>
    <m/>
    <m/>
    <x v="0"/>
    <x v="1"/>
    <n v="5.68"/>
    <x v="1"/>
  </r>
  <r>
    <d v="2026-01-12T00:00:00"/>
    <s v="FourJs"/>
    <s v="SI001248"/>
    <x v="0"/>
    <s v="FourJs Wartung 2026"/>
    <n v="4575.2"/>
    <n v="4575.2"/>
    <s v="UX"/>
    <s v="Z"/>
    <m/>
    <d v="2026-01-14T00:00:00"/>
    <m/>
    <s v="IE27AIBK93312005082026"/>
    <m/>
    <x v="0"/>
    <x v="1"/>
    <n v="0"/>
    <x v="0"/>
  </r>
  <r>
    <d v="2026-01-11T00:00:00"/>
    <s v="VitalWorks noIP"/>
    <s v="INV5664411"/>
    <x v="0"/>
    <s v="Dynamic DNS bis 25 Hosts 34,99 USD"/>
    <n v="31.57"/>
    <n v="31.57"/>
    <s v="EX"/>
    <s v="Z"/>
    <m/>
    <m/>
    <m/>
    <m/>
    <m/>
    <x v="0"/>
    <x v="1"/>
    <n v="0"/>
    <x v="0"/>
  </r>
  <r>
    <d v="2025-01-13T00:00:00"/>
    <s v="Telekom"/>
    <s v="R35 4942 5500 0551"/>
    <x v="1"/>
    <s v="Schulze mobil Dezember"/>
    <n v="15.52"/>
    <n v="18.47"/>
    <s v="EX"/>
    <s v="Z"/>
    <m/>
    <d v="2026-01-26T00:00:00"/>
    <m/>
    <m/>
    <m/>
    <x v="0"/>
    <x v="0"/>
    <n v="2.949999999999999"/>
    <x v="1"/>
  </r>
  <r>
    <d v="2025-01-14T00:00:00"/>
    <s v="Sage GmbH"/>
    <s v="2026-1080159"/>
    <x v="1"/>
    <s v="HR Cloud 12/2025"/>
    <n v="15.5"/>
    <n v="18.45"/>
    <s v="EX"/>
    <s v="Z"/>
    <m/>
    <d v="2026-02-13T00:00:00"/>
    <m/>
    <m/>
    <m/>
    <x v="0"/>
    <x v="0"/>
    <n v="2.949999999999999"/>
    <x v="1"/>
  </r>
  <r>
    <d v="2026-01-14T00:00:00"/>
    <s v="Wortmann AG"/>
    <s v="DR9116501"/>
    <x v="0"/>
    <s v="Terracloud M365 Bavkup VEH"/>
    <n v="14.9"/>
    <n v="17.73"/>
    <s v="UX"/>
    <s v="Z"/>
    <m/>
    <d v="2026-02-28T00:00:00"/>
    <m/>
    <m/>
    <m/>
    <x v="0"/>
    <x v="1"/>
    <n v="2.83"/>
    <x v="1"/>
  </r>
  <r>
    <d v="2026-01-15T00:00:00"/>
    <s v="Blau"/>
    <s v="1458357370/08"/>
    <x v="1"/>
    <s v="Bis 09.1.2026"/>
    <n v="13.44"/>
    <n v="15.99"/>
    <s v="EX"/>
    <s v="Z"/>
    <m/>
    <d v="2026-01-22T00:00:00"/>
    <m/>
    <m/>
    <m/>
    <x v="0"/>
    <x v="1"/>
    <n v="2.550000000000001"/>
    <x v="1"/>
  </r>
  <r>
    <d v="2026-01-16T00:00:00"/>
    <s v="Telekom"/>
    <s v="R7219484981"/>
    <x v="1"/>
    <s v="Schulze Januer 2026"/>
    <n v="33.57"/>
    <n v="39.95"/>
    <s v="EX"/>
    <s v="Z"/>
    <m/>
    <d v="2026-01-27T00:00:00"/>
    <m/>
    <m/>
    <m/>
    <x v="0"/>
    <x v="1"/>
    <n v="6.380000000000003"/>
    <x v="1"/>
  </r>
  <r>
    <d v="2026-01-15T00:00:00"/>
    <s v="DKV"/>
    <s v="26-649123675"/>
    <x v="1"/>
    <s v="Januar "/>
    <n v="262.64"/>
    <n v="312.54"/>
    <s v="EX"/>
    <s v="Z"/>
    <m/>
    <d v="2026-01-26T00:00:00"/>
    <m/>
    <m/>
    <m/>
    <x v="0"/>
    <x v="1"/>
    <n v="49.90000000000003"/>
    <x v="1"/>
  </r>
  <r>
    <d v="2026-01-18T00:00:00"/>
    <s v="Wolkesicher"/>
    <s v="R4093398"/>
    <x v="1"/>
    <s v="Februar"/>
    <n v="4.19"/>
    <n v="4.99"/>
    <s v="EX"/>
    <s v="Z"/>
    <m/>
    <d v="2026-02-01T00:00:00"/>
    <m/>
    <m/>
    <m/>
    <x v="0"/>
    <x v="1"/>
    <n v="0.7999999999999998"/>
    <x v="1"/>
  </r>
  <r>
    <d v="2026-01-21T00:00:00"/>
    <s v="Infinigate"/>
    <s v="PSI-23408935"/>
    <x v="0"/>
    <s v="Trellix wfb82 User"/>
    <n v="1215.24"/>
    <n v="1446.14"/>
    <s v="UX"/>
    <s v="Z"/>
    <m/>
    <d v="2026-02-04T00:00:00"/>
    <m/>
    <s v="DE75700202700085805185"/>
    <m/>
    <x v="0"/>
    <x v="1"/>
    <n v="230.9000000000001"/>
    <x v="1"/>
  </r>
  <r>
    <d v="2026-01-23T00:00:00"/>
    <s v="Vendosoft"/>
    <s v="1-2026-0585"/>
    <x v="0"/>
    <s v="MS Software"/>
    <n v="2382.04"/>
    <n v="2834.63"/>
    <s v="UX"/>
    <s v="Z"/>
    <m/>
    <d v="2026-01-29T00:00:00"/>
    <m/>
    <s v="DE68720200700022580493"/>
    <m/>
    <x v="0"/>
    <x v="1"/>
    <n v="452.5900000000001"/>
    <x v="1"/>
  </r>
  <r>
    <d v="2025-01-26T00:00:00"/>
    <s v="BFS Finance GmbH"/>
    <s v="R14752195"/>
    <x v="0"/>
    <s v="HP Dockingstation"/>
    <n v="876"/>
    <n v="1042.44"/>
    <s v="EX"/>
    <s v="Z"/>
    <m/>
    <d v="2026-02-24T00:00:00"/>
    <s v="API GmbH"/>
    <s v="DE16478400804156727358"/>
    <m/>
    <x v="0"/>
    <x v="0"/>
    <n v="166.4400000000001"/>
    <x v="1"/>
  </r>
  <r>
    <d v="2026-01-21T00:00:00"/>
    <s v="Telekom"/>
    <s v="R7222313875"/>
    <x v="1"/>
    <s v="Faszl Januar"/>
    <n v="37.77"/>
    <n v="44.95"/>
    <s v="EX"/>
    <s v="Z"/>
    <m/>
    <d v="2026-01-30T00:00:00"/>
    <m/>
    <m/>
    <m/>
    <x v="0"/>
    <x v="1"/>
    <n v="7.18"/>
    <x v="1"/>
  </r>
  <r>
    <d v="2026-01-31T00:00:00"/>
    <s v="NFON"/>
    <s v="26-12-161359"/>
    <x v="1"/>
    <s v="Januar "/>
    <n v="44.71"/>
    <n v="53.21"/>
    <s v="EX"/>
    <s v="Z"/>
    <m/>
    <d v="2026-02-10T00:00:00"/>
    <m/>
    <m/>
    <m/>
    <x v="0"/>
    <x v="1"/>
    <n v="8.5"/>
    <x v="1"/>
  </r>
  <r>
    <d v="2026-01-31T00:00:00"/>
    <s v="DKV"/>
    <s v="26/6493715/001"/>
    <x v="1"/>
    <s v="Januar"/>
    <n v="65.65000000000001"/>
    <n v="78.12"/>
    <s v="EX"/>
    <s v="Z"/>
    <m/>
    <d v="2026-02-10T00:00:00"/>
    <m/>
    <m/>
    <m/>
    <x v="0"/>
    <x v="1"/>
    <n v="12.47"/>
    <x v="1"/>
  </r>
  <r>
    <d v="2026-02-01T00:00:00"/>
    <s v="FinBC"/>
    <s v="SJMAOFZB-0020"/>
    <x v="0"/>
    <s v="Februar Rechnungsapi.de SWN"/>
    <n v="8.390000000000001"/>
    <n v="9.99"/>
    <s v="EX"/>
    <s v="Z"/>
    <m/>
    <s v="01..02.2026"/>
    <m/>
    <m/>
    <s v="FY"/>
    <x v="1"/>
    <x v="1"/>
    <n v="1.6"/>
    <x v="1"/>
  </r>
  <r>
    <d v="2026-02-01T00:00:00"/>
    <s v="Greiner"/>
    <s v="GM-8434"/>
    <x v="1"/>
    <s v="Buchhaltung Dezember"/>
    <n v="90"/>
    <n v="107.1"/>
    <s v="UX"/>
    <s v="Z"/>
    <m/>
    <d v="2026-02-08T00:00:00"/>
    <m/>
    <m/>
    <m/>
    <x v="1"/>
    <x v="1"/>
    <n v="17.09999999999999"/>
    <x v="1"/>
  </r>
  <r>
    <d v="2026-02-01T00:00:00"/>
    <s v="VW Leasing"/>
    <s v="R1026131759"/>
    <x v="1"/>
    <s v="Feburar"/>
    <n v="37.43"/>
    <n v="44.54"/>
    <s v="EX"/>
    <s v="Z"/>
    <m/>
    <d v="2026-02-02T00:00:00"/>
    <m/>
    <m/>
    <m/>
    <x v="1"/>
    <x v="1"/>
    <n v="7.109999999999999"/>
    <x v="1"/>
  </r>
  <r>
    <d v="2026-02-02T00:00:00"/>
    <s v="Westcon"/>
    <s v="R1075603427"/>
    <x v="0"/>
    <s v="Trendmicro Vision One FED"/>
    <n v="581.25"/>
    <n v="691.6900000000001"/>
    <s v="UX"/>
    <s v="Z"/>
    <m/>
    <d v="2026-02-13T00:00:00"/>
    <m/>
    <m/>
    <m/>
    <x v="1"/>
    <x v="1"/>
    <n v="110.4400000000001"/>
    <x v="1"/>
  </r>
  <r>
    <d v="2026-02-02T00:00:00"/>
    <s v="Westcon"/>
    <s v="R1075603428"/>
    <x v="0"/>
    <s v="Trendmicro Vision One WFB"/>
    <n v="1953"/>
    <n v="2324.07"/>
    <s v="UX"/>
    <s v="Z"/>
    <m/>
    <d v="2026-02-13T00:00:00"/>
    <m/>
    <m/>
    <m/>
    <x v="1"/>
    <x v="1"/>
    <n v="371.0700000000002"/>
    <x v="1"/>
  </r>
  <r>
    <d v="2026-02-03T00:00:00"/>
    <s v="Westcon"/>
    <s v="R1075603636"/>
    <x v="0"/>
    <s v="Trendmicro Vision One GZI"/>
    <n v="204.6"/>
    <n v="243.47"/>
    <s v="UX"/>
    <s v="Z"/>
    <m/>
    <d v="2026-02-16T00:00:00"/>
    <m/>
    <m/>
    <m/>
    <x v="1"/>
    <x v="1"/>
    <n v="38.87"/>
    <x v="1"/>
  </r>
  <r>
    <d v="2026-02-09T00:00:00"/>
    <s v="Stadtwerke Speyer"/>
    <s v="0002ARV-2025-83783"/>
    <x v="1"/>
    <s v="Abrechnung 2025"/>
    <n v="1235"/>
    <n v="1469.63"/>
    <s v="EX"/>
    <s v="Z"/>
    <m/>
    <d v="2026-02-27T00:00:00"/>
    <m/>
    <m/>
    <m/>
    <x v="1"/>
    <x v="1"/>
    <n v="234.6300000000001"/>
    <x v="1"/>
  </r>
  <r>
    <d v="2026-02-10T00:00:00"/>
    <s v="Hetzner"/>
    <s v="R089000740318"/>
    <x v="0"/>
    <s v="FTP-Speicher GML 12/2025 + 01/2025"/>
    <n v="6.38"/>
    <n v="7.6"/>
    <s v="EX"/>
    <s v="Z"/>
    <m/>
    <d v="2026-12-13T00:00:00"/>
    <m/>
    <m/>
    <m/>
    <x v="1"/>
    <x v="1"/>
    <n v="1.22"/>
    <x v="1"/>
  </r>
  <r>
    <d v="2026-02-10T00:00:00"/>
    <s v="Ratiokontakt"/>
    <s v="R10898038"/>
    <x v="0"/>
    <s v="ResellerWeb bis 16.02.2026"/>
    <n v="29.9"/>
    <n v="35.58"/>
    <s v="EX"/>
    <s v="Z"/>
    <m/>
    <d v="2026-02-16T00:00:00"/>
    <m/>
    <m/>
    <m/>
    <x v="1"/>
    <x v="1"/>
    <n v="5.68"/>
    <x v="1"/>
  </r>
  <r>
    <d v="2026-02-11T00:00:00"/>
    <s v="Telekom"/>
    <s v="35 6057 7900 0551"/>
    <x v="1"/>
    <s v="Schulze Mobil Januar"/>
    <n v="13.71"/>
    <n v="16.31"/>
    <s v="EX"/>
    <s v="Z"/>
    <m/>
    <d v="2026-02-23T00:00:00"/>
    <m/>
    <m/>
    <m/>
    <x v="1"/>
    <x v="1"/>
    <n v="2.599999999999998"/>
    <x v="1"/>
  </r>
  <r>
    <d v="2026-02-12T00:00:00"/>
    <s v="Sage"/>
    <s v="2026-1103671"/>
    <x v="1"/>
    <s v="Januar"/>
    <n v="15.5"/>
    <n v="18.45"/>
    <s v="EX"/>
    <s v="Z"/>
    <m/>
    <d v="2026-03-14T00:00:00"/>
    <m/>
    <m/>
    <m/>
    <x v="1"/>
    <x v="1"/>
    <n v="2.949999999999999"/>
    <x v="1"/>
  </r>
  <r>
    <d v="2026-02-12T00:00:00"/>
    <s v="BFS finance GmbH"/>
    <s v="R14815398"/>
    <x v="0"/>
    <s v="Festplatte 2TB"/>
    <n v="87.11"/>
    <n v="103.66"/>
    <s v="UX"/>
    <s v="Z"/>
    <m/>
    <d v="2026-03-12T00:00:00"/>
    <s v="API GmbH"/>
    <s v="DE16478400804156727358"/>
    <m/>
    <x v="1"/>
    <x v="1"/>
    <n v="16.55"/>
    <x v="1"/>
  </r>
  <r>
    <d v="2026-02-12T00:00:00"/>
    <s v="OPenAI"/>
    <s v="7J06MMBJ-0010"/>
    <x v="1"/>
    <s v="ChatGpt bis 03.12.2026   20$"/>
    <n v="17.27"/>
    <n v="17.27"/>
    <s v="EX"/>
    <s v="Z"/>
    <m/>
    <d v="2026-02-12T00:00:00"/>
    <m/>
    <m/>
    <s v="FY"/>
    <x v="1"/>
    <x v="1"/>
    <n v="0"/>
    <x v="0"/>
  </r>
  <r>
    <d v="2026-02-13T00:00:00"/>
    <s v="Telekom"/>
    <s v="723 589 6713"/>
    <x v="1"/>
    <s v="Schulze Februar"/>
    <n v="36.02"/>
    <n v="42.86"/>
    <s v="EX"/>
    <s v="Z"/>
    <m/>
    <d v="2026-02-24T00:00:00"/>
    <m/>
    <m/>
    <m/>
    <x v="1"/>
    <x v="1"/>
    <n v="6.839999999999996"/>
    <x v="1"/>
  </r>
  <r>
    <d v="2026-02-13T00:00:00"/>
    <s v="Blau"/>
    <s v="1484280372/08"/>
    <x v="1"/>
    <s v="Faszl februar"/>
    <n v="13.44"/>
    <n v="15.99"/>
    <s v="EX"/>
    <s v="Z"/>
    <m/>
    <d v="2026-02-20T00:00:00"/>
    <m/>
    <m/>
    <m/>
    <x v="1"/>
    <x v="1"/>
    <n v="2.550000000000001"/>
    <x v="1"/>
  </r>
  <r>
    <d v="2026-02-16T00:00:00"/>
    <s v="GEZ"/>
    <s v="B242261800"/>
    <x v="1"/>
    <s v="Q1/2026"/>
    <n v="91.8"/>
    <n v="91.8"/>
    <s v="EX"/>
    <s v="Z"/>
    <m/>
    <d v="2026-02-16T00:00:00"/>
    <m/>
    <m/>
    <m/>
    <x v="1"/>
    <x v="1"/>
    <n v="0"/>
    <x v="0"/>
  </r>
  <r>
    <d v="2026-02-15T00:00:00"/>
    <s v="Wolkesicher"/>
    <s v="R412669"/>
    <x v="1"/>
    <s v="März"/>
    <n v="4.19"/>
    <n v="4.99"/>
    <s v="EX"/>
    <s v="Z"/>
    <m/>
    <d v="2026-03-01T00:00:00"/>
    <m/>
    <m/>
    <m/>
    <x v="1"/>
    <x v="1"/>
    <n v="0.7999999999999998"/>
    <x v="1"/>
  </r>
  <r>
    <d v="2026-02-17T00:00:00"/>
    <s v="Infinigate"/>
    <s v="PSI-23419955"/>
    <x v="0"/>
    <s v="2xWG-Support T15  bis EOL 1.3.27 GML"/>
    <n v="271.49"/>
    <n v="323.07"/>
    <s v="UX"/>
    <s v="Z"/>
    <m/>
    <d v="2026-03-03T00:00:00"/>
    <m/>
    <s v="DE75700202700085805185"/>
    <m/>
    <x v="1"/>
    <x v="1"/>
    <n v="51.57999999999998"/>
    <x v="1"/>
  </r>
  <r>
    <d v="2026-02-18T00:00:00"/>
    <s v="Telekom"/>
    <s v="723 8655399"/>
    <x v="1"/>
    <s v="Faszl februar"/>
    <n v="37.77"/>
    <n v="44.95"/>
    <s v="EX"/>
    <s v="Z"/>
    <m/>
    <d v="2026-02-27T00:00:00"/>
    <m/>
    <m/>
    <m/>
    <x v="1"/>
    <x v="1"/>
    <n v="7.18"/>
    <x v="1"/>
  </r>
  <r>
    <d v="2026-02-18T00:00:00"/>
    <s v="Elovade"/>
    <s v="R1294160"/>
    <x v="0"/>
    <s v="Mailstore Wartung 3 JWFB"/>
    <n v="1119.3"/>
    <n v="1331.97"/>
    <s v="EX"/>
    <s v="Z"/>
    <m/>
    <d v="2026-03-04T00:00:00"/>
    <m/>
    <m/>
    <m/>
    <x v="1"/>
    <x v="1"/>
    <n v="212.6700000000001"/>
    <x v="1"/>
  </r>
  <r>
    <d v="2026-02-19T00:00:00"/>
    <s v="DKV"/>
    <s v="26-649783217-00"/>
    <x v="1"/>
    <s v="Februar"/>
    <n v="274.33"/>
    <n v="326.45"/>
    <s v="EX"/>
    <s v="Z"/>
    <m/>
    <d v="2026-02-22T00:00:00"/>
    <m/>
    <m/>
    <m/>
    <x v="1"/>
    <x v="1"/>
    <n v="52.12"/>
    <x v="1"/>
  </r>
  <r>
    <d v="2026-02-06T00:00:00"/>
    <s v="IHK Pfalz"/>
    <s v="B3041644100263"/>
    <x v="1"/>
    <s v="IHK Beitrag 2026"/>
    <n v="150"/>
    <n v="150"/>
    <s v="UX"/>
    <s v="Z"/>
    <m/>
    <d v="2026-03-02T00:00:00"/>
    <m/>
    <s v="DE73545700940013311600"/>
    <m/>
    <x v="1"/>
    <x v="1"/>
    <n v="0"/>
    <x v="0"/>
  </r>
  <r>
    <d v="2026-02-25T00:00:00"/>
    <s v="PSW"/>
    <s v="RG12606324"/>
    <x v="0"/>
    <s v="SSL-Zert. Ftp.gml-ludwigshafen.de"/>
    <n v="13.61"/>
    <n v="16.2"/>
    <s v="EX"/>
    <s v="Z"/>
    <m/>
    <d v="2026-02-27T00:00:00"/>
    <m/>
    <m/>
    <m/>
    <x v="1"/>
    <x v="1"/>
    <n v="2.59"/>
    <x v="1"/>
  </r>
  <r>
    <d v="2026-02-25T00:00:00"/>
    <s v="Telekom"/>
    <s v="724 237 8674"/>
    <x v="1"/>
    <s v="Schulze März"/>
    <n v="39.9"/>
    <n v="47.48"/>
    <s v="EX"/>
    <s v="Z"/>
    <m/>
    <d v="2026-03-06T00:00:00"/>
    <m/>
    <m/>
    <m/>
    <x v="1"/>
    <x v="1"/>
    <n v="7.579999999999998"/>
    <x v="1"/>
  </r>
  <r>
    <d v="2026-02-24T00:00:00"/>
    <s v="OPenAI"/>
    <s v="EINUE9O4-0001"/>
    <x v="1"/>
    <s v="Go Subskriptio"/>
    <n v="6.72"/>
    <n v="6.72"/>
    <s v="EX"/>
    <s v="Z"/>
    <m/>
    <d v="2026-02-25T00:00:00"/>
    <m/>
    <m/>
    <s v="FY"/>
    <x v="1"/>
    <x v="1"/>
    <n v="0"/>
    <x v="0"/>
  </r>
  <r>
    <d v="2026-02-28T00:00:00"/>
    <s v="NFON"/>
    <s v="26-13-177839"/>
    <x v="1"/>
    <s v="Februar"/>
    <n v="33.57"/>
    <n v="39.95"/>
    <s v="EX"/>
    <s v="Z"/>
    <m/>
    <d v="2026-03-10T00:00:00"/>
    <m/>
    <m/>
    <m/>
    <x v="1"/>
    <x v="1"/>
    <n v="6.380000000000003"/>
    <x v="1"/>
  </r>
  <r>
    <d v="2026-02-28T00:00:00"/>
    <s v="DKV"/>
    <s v="26/650056632/001"/>
    <x v="1"/>
    <s v="Februar"/>
    <n v="114.56"/>
    <n v="136.33"/>
    <s v="EX"/>
    <s v="Z"/>
    <m/>
    <d v="2026-03-10T00:00:00"/>
    <m/>
    <m/>
    <m/>
    <x v="1"/>
    <x v="1"/>
    <n v="21.77000000000001"/>
    <x v="1"/>
  </r>
  <r>
    <d v="2026-03-01T00:00:00"/>
    <s v="VW Leasing"/>
    <s v="R102628401124"/>
    <x v="1"/>
    <s v="März"/>
    <n v="37.43"/>
    <n v="44.54"/>
    <s v="EX"/>
    <s v="Z"/>
    <m/>
    <d v="2026-03-05T00:00:00"/>
    <m/>
    <m/>
    <m/>
    <x v="2"/>
    <x v="1"/>
    <n v="7.109999999999999"/>
    <x v="1"/>
  </r>
  <r>
    <d v="2026-03-02T00:00:00"/>
    <s v="FinBC"/>
    <s v="SJMAOFZB-0025"/>
    <x v="0"/>
    <s v="März Rechnungsapi.de SWN"/>
    <n v="8.390000000000001"/>
    <n v="9.99"/>
    <s v="EX"/>
    <s v="Z"/>
    <m/>
    <d v="2026-03-02T00:00:00"/>
    <m/>
    <m/>
    <s v="FY"/>
    <x v="2"/>
    <x v="1"/>
    <n v="1.6"/>
    <x v="1"/>
  </r>
  <r>
    <d v="2026-03-08T00:00:00"/>
    <s v="Wortmann AG"/>
    <s v="DR9216466"/>
    <x v="0"/>
    <s v="Terracloud M365 Bavkup VEH"/>
    <n v="14.9"/>
    <n v="17.73"/>
    <s v="UX"/>
    <s v="Z"/>
    <m/>
    <d v="2026-03-20T00:00:00"/>
    <m/>
    <s v="DE85490501010002006138"/>
    <m/>
    <x v="2"/>
    <x v="1"/>
    <n v="2.83"/>
    <x v="1"/>
  </r>
  <r>
    <d v="2026-03-10T00:00:00"/>
    <s v="Ratiokontakt"/>
    <s v="R10900491"/>
    <x v="0"/>
    <s v="Bis 16.03.2026"/>
    <n v="65.54000000000001"/>
    <n v="77.98999999999999"/>
    <s v="EX"/>
    <s v="Z"/>
    <m/>
    <d v="2026-03-16T00:00:00"/>
    <m/>
    <m/>
    <m/>
    <x v="2"/>
    <x v="1"/>
    <n v="12.44999999999999"/>
    <x v="1"/>
  </r>
  <r>
    <d v="2026-03-11T00:00:00"/>
    <s v="Telekom"/>
    <s v="357 17868000551"/>
    <x v="1"/>
    <s v="Schulze Mobil"/>
    <n v="12.89"/>
    <n v="15.34"/>
    <s v="EX"/>
    <s v="Z"/>
    <m/>
    <d v="2026-03-23T00:00:00"/>
    <m/>
    <m/>
    <m/>
    <x v="2"/>
    <x v="1"/>
    <n v="2.449999999999999"/>
    <x v="1"/>
  </r>
  <r>
    <d v="2026-03-11T00:00:00"/>
    <s v="TDSynnex Germany GmbH"/>
    <s v="R8279861122"/>
    <x v="0"/>
    <s v="2 x Space Mouse compact"/>
    <n v="296.96"/>
    <n v="353.38"/>
    <s v="UX"/>
    <s v="Z"/>
    <m/>
    <d v="2026-03-25T00:00:00"/>
    <m/>
    <s v="DE82502109000214150042"/>
    <m/>
    <x v="2"/>
    <x v="1"/>
    <n v="56.42000000000002"/>
    <x v="1"/>
  </r>
  <r>
    <d v="2026-03-11T00:00:00"/>
    <s v="Sage"/>
    <s v="2026-1125731"/>
    <x v="1"/>
    <s v="Februar"/>
    <n v="15.5"/>
    <n v="18.45"/>
    <s v="EX"/>
    <s v="Z"/>
    <m/>
    <d v="2026-04-11T00:00:00"/>
    <m/>
    <m/>
    <m/>
    <x v="2"/>
    <x v="1"/>
    <n v="2.949999999999999"/>
    <x v="1"/>
  </r>
  <r>
    <d v="2026-03-13T00:00:00"/>
    <s v="Anthropic"/>
    <s v="OH4P0JW-0006"/>
    <x v="1"/>
    <s v="Pro-Plan bis 13.04.2026"/>
    <n v="18"/>
    <n v="18"/>
    <s v="EX"/>
    <s v="Z"/>
    <m/>
    <d v="2026-03-13T00:00:00"/>
    <m/>
    <m/>
    <s v="FY"/>
    <x v="2"/>
    <x v="1"/>
    <n v="0"/>
    <x v="0"/>
  </r>
  <r>
    <d v="2026-03-13T00:00:00"/>
    <s v="Blau"/>
    <s v="1509837427/08"/>
    <x v="1"/>
    <s v="März"/>
    <n v="13.44"/>
    <n v="15.99"/>
    <s v="EX"/>
    <s v="Z"/>
    <m/>
    <d v="2026-03-20T00:00:00"/>
    <m/>
    <m/>
    <m/>
    <x v="2"/>
    <x v="1"/>
    <n v="2.550000000000001"/>
    <x v="1"/>
  </r>
  <r>
    <d v="2026-03-15T00:00:00"/>
    <s v="DKV"/>
    <s v="26/650457828/001"/>
    <x v="1"/>
    <m/>
    <n v="115.98"/>
    <n v="138.02"/>
    <s v="EX"/>
    <s v="Z"/>
    <m/>
    <d v="2026-03-25T00:00:00"/>
    <m/>
    <m/>
    <m/>
    <x v="2"/>
    <x v="1"/>
    <n v="22.04000000000001"/>
    <x v="1"/>
  </r>
  <r>
    <d v="2026-03-16T00:00:00"/>
    <s v="Greiner"/>
    <s v="GM-8446"/>
    <x v="1"/>
    <s v="Januar"/>
    <n v="180"/>
    <n v="214.2"/>
    <s v="UX"/>
    <s v="Z"/>
    <m/>
    <d v="2026-03-23T00:00:00"/>
    <m/>
    <s v="DE72701900000002829800"/>
    <m/>
    <x v="2"/>
    <x v="1"/>
    <n v="34.19999999999999"/>
    <x v="1"/>
  </r>
  <r>
    <d v="2026-03-16T00:00:00"/>
    <s v="Telekom"/>
    <s v="725 208 6498"/>
    <x v="1"/>
    <s v="Schulze März"/>
    <n v="31.29"/>
    <n v="37.24"/>
    <s v="EX"/>
    <s v="Z"/>
    <m/>
    <d v="2026-03-25T00:00:00"/>
    <m/>
    <m/>
    <m/>
    <x v="2"/>
    <x v="1"/>
    <n v="5.950000000000003"/>
    <x v="1"/>
  </r>
  <r>
    <d v="2026-03-17T00:00:00"/>
    <s v="Kassen24"/>
    <s v="Re4696-2026"/>
    <x v="0"/>
    <s v="2 x Kassenschubladen"/>
    <n v="164.99"/>
    <n v="196.34"/>
    <s v="EX"/>
    <s v="Z"/>
    <m/>
    <d v="2026-03-18T00:00:00"/>
    <m/>
    <m/>
    <m/>
    <x v="2"/>
    <x v="1"/>
    <n v="31.34999999999999"/>
    <x v="1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  <r>
    <m/>
    <m/>
    <m/>
    <x v="3"/>
    <m/>
    <m/>
    <m/>
    <m/>
    <m/>
    <m/>
    <m/>
    <m/>
    <m/>
    <m/>
    <x v="12"/>
    <x v="2"/>
    <s v=""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7" dataOnRows="0" dataCaption="Werte" grandTotalCaption="Summe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0" outlineData="0" compactData="1" published="0" gridDropZones="0" immersive="1" multipleFieldFilters="0" chartFormat="0" rowHeaderCaption="Monat" colHeaderCaption="USt-%" fieldListSortAscending="0" mdxSubqueries="0" applyNumberFormats="0" applyBorderFormats="0" applyFontFormats="0" applyPatternFormats="0" applyAlignmentFormats="0" applyWidthHeightFormats="1" r:id="rId1">
  <location ref="B6:K13" firstHeaderRow="1" firstDataRow="3" firstDataCol="1" rowPageCount="1" colPageCount="1"/>
  <pivotFields count="1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7">
        <item t="data" sd="1" x="0"/>
        <item t="data" sd="1" x="1"/>
        <item t="data" sd="1" x="5"/>
        <item t="data" sd="1" x="2"/>
        <item t="data" sd="1" x="4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12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3"/>
        <item t="data" h="1" sd="0" x="0"/>
        <item t="data" sd="1" m="1" x="4"/>
        <item t="data" h="1" sd="1" x="2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2"/>
        <item t="data" sd="1" x="1"/>
        <item t="data" sd="1" x="3"/>
        <item t="data" sd="1" m="1" x="10"/>
        <item t="data" sd="1" m="1" x="13"/>
        <item t="data" sd="1" m="1" x="16"/>
        <item t="data" sd="1" m="1" x="14"/>
        <item t="data" sd="1" m="1" x="15"/>
        <item t="data" sd="1" m="1" x="6"/>
        <item t="data" sd="1" m="1" x="11"/>
        <item t="data" sd="1" m="1" x="12"/>
        <item t="data" sd="1" m="1" x="9"/>
        <item t="data" sd="1" m="1" x="8"/>
        <item t="data" sd="1" m="1" x="7"/>
        <item t="data" sd="1" m="1" x="5"/>
        <item t="data" sd="1" m="1" x="4"/>
        <item t="default" sd="1"/>
      </items>
    </pivotField>
  </pivotFields>
  <rowFields count="2">
    <field x="15"/>
    <field x="14"/>
  </rowFields>
  <rowItems count="5">
    <i t="data" r="0" i="0">
      <x v="4"/>
    </i>
    <i t="data" r="1" i="0">
      <x v="0"/>
    </i>
    <i t="data" r="1" i="0">
      <x v="1"/>
    </i>
    <i t="data" r="1" i="0">
      <x v="2"/>
    </i>
    <i t="grand" r="0" i="0">
      <x v="0"/>
    </i>
  </rowItems>
  <colFields count="2">
    <field x="17"/>
    <field x="-2"/>
  </colFields>
  <colItems count="9">
    <i t="data" r="0" i="0">
      <x v="0"/>
      <x v="0"/>
    </i>
    <i t="data" r="1" i="1">
      <x v="1"/>
    </i>
    <i t="data" r="1" i="2">
      <x v="2"/>
    </i>
    <i t="data" r="0" i="0">
      <x v="2"/>
      <x v="0"/>
    </i>
    <i t="data" r="1" i="1">
      <x v="1"/>
    </i>
    <i t="data" r="1" i="2">
      <x v="2"/>
    </i>
    <i t="grand" r="0" i="0">
      <x v="0"/>
    </i>
    <i t="grand" r="0" i="1">
      <x v="0"/>
    </i>
    <i t="grand" r="0" i="2">
      <x v="0"/>
    </i>
  </colItems>
  <pageFields count="1">
    <pageField fld="3" hier="-1"/>
  </pageFields>
  <dataFields count="3">
    <dataField name="S-Steuer" fld="16" subtotal="sum" showDataAs="normal" baseField="8" baseItem="0" numFmtId="164"/>
    <dataField name="S-Netto" fld="5" subtotal="sum" showDataAs="normal" baseField="8" baseItem="0" numFmtId="164"/>
    <dataField name="S-Brutto" fld="6" subtotal="sum" showDataAs="normal" baseField="8" baseItem="0" numFmtId="164"/>
  </dataFields>
  <formats count="9">
    <format action="formatting" dxfId="8">
      <pivotArea field="14" type="button" dataOnly="0" labelOnly="1" outline="0" axis="axisRow" fieldPosition="1"/>
    </format>
    <format action="formatting" dxfId="7">
      <pivotArea type="normal" dataOnly="0" labelOnly="1" outline="1" fieldPosition="0">
        <references count="1">
          <reference field="17"/>
        </references>
      </pivotArea>
    </format>
    <format action="formatting" dxfId="6">
      <pivotArea type="normal" dataOnly="0" labelOnly="1" grandCol="1" outline="0" fieldPosition="0"/>
    </format>
    <format action="formatting" dxfId="5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4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3">
      <pivotArea type="normal" dataOnly="1" outline="0" fieldPosition="0">
        <references count="1">
          <reference field="4294967294">
            <x v="2"/>
          </reference>
        </references>
      </pivotArea>
    </format>
    <format action="formatting" dxfId="2">
      <pivotArea field="17" type="normal" dataOnly="0" labelOnly="1" grandCol="1" outline="0" axis="axisCol" fieldPosition="0">
        <references count="1">
          <reference field="4294967294" selected="0">
            <x v="0"/>
          </reference>
        </references>
      </pivotArea>
    </format>
    <format action="formatting" dxfId="1">
      <pivotArea field="17" type="normal" dataOnly="0" labelOnly="1" grandCol="1" outline="0" axis="axisCol" fieldPosition="0">
        <references count="1">
          <reference field="4294967294" selected="0">
            <x v="1"/>
          </reference>
        </references>
      </pivotArea>
    </format>
    <format action="formatting" dxfId="0">
      <pivotArea field="17" type="normal" dataOnly="0" labelOnly="1" grandCol="1" outline="0" axis="axisCol" fieldPosition="0">
        <references count="1">
          <reference field="4294967294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_rechnungen" displayName="tb_rechnungen" ref="A4:R721" headerRowCount="1" totalsRowShown="0" headerRowDxfId="28" dataDxfId="27">
  <autoFilter ref="A4:R720">
    <filterColumn colId="0" hiddenButton="0" showButton="1">
      <filters blank="1">
        <dateGroupItem year="2026" dateTimeGrouping="year"/>
      </filters>
    </filterColumn>
  </autoFilter>
  <tableColumns count="18">
    <tableColumn id="1" name="Re-Datum" dataDxfId="26"/>
    <tableColumn id="2" name="Name/Lieferant" dataDxfId="25"/>
    <tableColumn id="8" name="RE-Nr" dataDxfId="24"/>
    <tableColumn id="10" name="TYP" dataDxfId="23"/>
    <tableColumn id="3" name="Text" dataDxfId="22"/>
    <tableColumn id="4" name="Netto" dataDxfId="21"/>
    <tableColumn id="6" name="Brutto" dataDxfId="20"/>
    <tableColumn id="12" name="EU" dataDxfId="19"/>
    <tableColumn id="13" name="A,Z" dataDxfId="18"/>
    <tableColumn id="14" name="M?" dataDxfId="17"/>
    <tableColumn id="17" name="Fällig_am" dataDxfId="16"/>
    <tableColumn id="18" name="U_Text" dataDxfId="15"/>
    <tableColumn id="16" name="IBAN" dataDxfId="14"/>
    <tableColumn id="11" name="Konto-ID" dataDxfId="13"/>
    <tableColumn id="5" name="Monat" dataDxfId="12">
      <calculatedColumnFormula>IF(tb_rechnungen[[#This Row],[Re-Datum]]&gt;0,MONTH(tb_rechnungen[[#This Row],[Re-Datum]]),"")</calculatedColumnFormula>
    </tableColumn>
    <tableColumn id="9" name="Jahr" dataDxfId="11">
      <calculatedColumnFormula>IF(tb_rechnungen[[#This Row],[Re-Datum]]&gt;0,YEAR(tb_rechnungen[[#This Row],[Re-Datum]]),"")</calculatedColumnFormula>
    </tableColumn>
    <tableColumn id="15" name="Steuer" dataDxfId="10">
      <calculatedColumnFormula>IF(tb_rechnungen[[#This Row],[Brutto]]&lt;&gt;0,tb_rechnungen[[#This Row],[Brutto]]-tb_rechnungen[[#This Row],[Netto]],"")</calculatedColumnFormula>
    </tableColumn>
    <tableColumn id="7" name="St%" dataDxfId="9">
      <calculatedColumnFormula>IF(tb_rechnungen[[#This Row],[Netto]]&lt;&gt;0,ROUND(tb_rechnungen[[#This Row],[Steuer]]/tb_rechnungen[[#This Row],[Netto]],2),"")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5:G56" headerRowCount="1" totalsRowShown="0">
  <autoFilter ref="A5:G56"/>
  <sortState ref="A6:F56">
    <sortCondition ref="B5:B56"/>
  </sortState>
  <tableColumns count="7">
    <tableColumn id="1" name="Kred-ID"/>
    <tableColumn id="2" name="Name"/>
    <tableColumn id="5" name="EU"/>
    <tableColumn id="6" name="ABB-Konto"/>
    <tableColumn id="3" name="U_Text"/>
    <tableColumn id="4" name="IBAN"/>
    <tableColumn id="7" name="Hinwe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T721"/>
  <sheetViews>
    <sheetView tabSelected="1" topLeftCell="B1" workbookViewId="0">
      <pane ySplit="4" topLeftCell="A392" activePane="bottomLeft" state="frozen"/>
      <selection pane="bottomLeft" activeCell="H721" sqref="H721"/>
    </sheetView>
  </sheetViews>
  <sheetFormatPr baseColWidth="10" defaultColWidth="9.28515625" defaultRowHeight="12"/>
  <cols>
    <col width="12.28515625" customWidth="1" style="47" min="1" max="1"/>
    <col width="21.140625" customWidth="1" style="1" min="2" max="2"/>
    <col width="15.5703125" customWidth="1" style="2" min="3" max="3"/>
    <col width="5.42578125" customWidth="1" style="2" min="4" max="4"/>
    <col width="32" customWidth="1" style="1" min="5" max="5"/>
    <col width="11.28515625" customWidth="1" style="6" min="6" max="7"/>
    <col width="11.28515625" customWidth="1" style="24" min="8" max="9"/>
    <col width="8.85546875" customWidth="1" style="3" min="10" max="10"/>
    <col width="11.7109375" customWidth="1" style="62" min="11" max="12"/>
    <col width="27.7109375" customWidth="1" style="65" min="13" max="13"/>
    <col width="11.7109375" customWidth="1" style="3" min="14" max="14"/>
    <col width="9" customWidth="1" style="12" min="15" max="15"/>
    <col width="9.5703125" bestFit="1" customWidth="1" style="13" min="16" max="16"/>
    <col width="9.28515625" customWidth="1" style="19" min="17" max="17"/>
    <col width="9.28515625" customWidth="1" style="37" min="18" max="18"/>
    <col width="9.28515625" customWidth="1" style="1" min="19" max="16384"/>
  </cols>
  <sheetData>
    <row r="1" ht="18.75" customFormat="1" customHeight="1" s="7">
      <c r="A1" s="45" t="inlineStr">
        <is>
          <t>Rechnungseingangsliste</t>
        </is>
      </c>
      <c r="C1" s="8" t="n"/>
      <c r="D1" s="8" t="n"/>
      <c r="E1" s="70" t="n"/>
      <c r="F1" s="16" t="n"/>
      <c r="G1" s="14" t="n"/>
      <c r="H1" s="14" t="n"/>
      <c r="I1" s="14" t="n"/>
      <c r="J1" s="9" t="n"/>
      <c r="L1" s="61" t="n"/>
      <c r="N1" s="9" t="n"/>
      <c r="O1" s="10" t="n"/>
      <c r="P1" s="11" t="n"/>
      <c r="Q1" s="18" t="n"/>
      <c r="R1" s="36" t="n"/>
      <c r="S1" s="7" t="inlineStr">
        <is>
          <t>PW</t>
        </is>
      </c>
      <c r="T1" s="7" t="inlineStr">
        <is>
          <t>szstem</t>
        </is>
      </c>
    </row>
    <row r="2" ht="49.5" customHeight="1">
      <c r="A2" s="46" t="inlineStr">
        <is>
          <t>Anzahl</t>
        </is>
      </c>
      <c r="F2" s="17" t="n"/>
      <c r="G2" s="4" t="n"/>
      <c r="H2" s="15" t="n"/>
      <c r="I2" s="15" t="n"/>
      <c r="O2" s="81" t="inlineStr">
        <is>
          <t>Wird automatisch ausgefüllt</t>
        </is>
      </c>
      <c r="P2" s="79" t="n"/>
      <c r="Q2" s="80" t="n"/>
    </row>
    <row r="3">
      <c r="A3" s="48">
        <f>SUBTOTAL(3,tb_rechnungen[Re-Datum])</f>
        <v/>
      </c>
      <c r="F3" s="5">
        <f>SUBTOTAL(9,tb_rechnungen[Netto])</f>
        <v/>
      </c>
      <c r="G3" s="5">
        <f>SUBTOTAL(9,tb_rechnungen[Brutto])</f>
        <v/>
      </c>
      <c r="H3" s="25" t="n"/>
      <c r="I3" s="60" t="n"/>
      <c r="J3" s="21" t="n"/>
      <c r="K3" s="63" t="n"/>
      <c r="L3" s="63" t="n"/>
      <c r="M3" s="66" t="n"/>
      <c r="N3" s="21" t="n"/>
      <c r="O3" s="23" t="n"/>
      <c r="P3" s="22" t="n"/>
      <c r="Q3" s="20">
        <f>SUBTOTAL(9,tb_rechnungen[Steuer])</f>
        <v/>
      </c>
    </row>
    <row r="4">
      <c r="A4" s="26" t="inlineStr">
        <is>
          <t>Re-Datum</t>
        </is>
      </c>
      <c r="B4" s="27" t="inlineStr">
        <is>
          <t>Name/Lieferant</t>
        </is>
      </c>
      <c r="C4" s="28" t="inlineStr">
        <is>
          <t>RE-Nr</t>
        </is>
      </c>
      <c r="D4" s="28" t="inlineStr">
        <is>
          <t>TYP</t>
        </is>
      </c>
      <c r="E4" s="27" t="inlineStr">
        <is>
          <t>Text</t>
        </is>
      </c>
      <c r="F4" s="29" t="inlineStr">
        <is>
          <t>Netto</t>
        </is>
      </c>
      <c r="G4" s="29" t="inlineStr">
        <is>
          <t>Brutto</t>
        </is>
      </c>
      <c r="H4" s="31" t="inlineStr">
        <is>
          <t>EU</t>
        </is>
      </c>
      <c r="I4" s="31" t="inlineStr">
        <is>
          <t>A,Z</t>
        </is>
      </c>
      <c r="J4" s="31" t="inlineStr">
        <is>
          <t>M?</t>
        </is>
      </c>
      <c r="K4" s="64" t="inlineStr">
        <is>
          <t>Fällig_am</t>
        </is>
      </c>
      <c r="L4" s="64" t="inlineStr">
        <is>
          <t>U_Text</t>
        </is>
      </c>
      <c r="M4" s="49" t="inlineStr">
        <is>
          <t>IBAN</t>
        </is>
      </c>
      <c r="N4" s="31" t="inlineStr">
        <is>
          <t>Konto-ID</t>
        </is>
      </c>
      <c r="O4" s="32" t="inlineStr">
        <is>
          <t>Monat</t>
        </is>
      </c>
      <c r="P4" s="33" t="inlineStr">
        <is>
          <t>Jahr</t>
        </is>
      </c>
      <c r="Q4" s="34" t="inlineStr">
        <is>
          <t>Steuer</t>
        </is>
      </c>
      <c r="R4" s="38" t="inlineStr">
        <is>
          <t>St%</t>
        </is>
      </c>
    </row>
    <row r="5" hidden="1">
      <c r="A5" s="26" t="n">
        <v>45658</v>
      </c>
      <c r="B5" s="27" t="inlineStr">
        <is>
          <t>AppTec</t>
        </is>
      </c>
      <c r="C5" s="28" t="inlineStr">
        <is>
          <t>2025-1-23608</t>
        </is>
      </c>
      <c r="D5" s="28" t="inlineStr">
        <is>
          <t>E</t>
        </is>
      </c>
      <c r="E5" s="27" t="inlineStr">
        <is>
          <t>Unified Endpoint Management Package</t>
        </is>
      </c>
      <c r="F5" s="29" t="n">
        <v>2864.4</v>
      </c>
      <c r="G5" s="29" t="n">
        <v>2864.4</v>
      </c>
      <c r="H5" s="30" t="inlineStr">
        <is>
          <t>X</t>
        </is>
      </c>
      <c r="I5" s="31" t="inlineStr">
        <is>
          <t>Z</t>
        </is>
      </c>
      <c r="J5" s="31" t="inlineStr">
        <is>
          <t>M</t>
        </is>
      </c>
      <c r="K5" s="50" t="n"/>
      <c r="L5" s="50" t="n"/>
      <c r="M5" s="49" t="n"/>
      <c r="N5" s="31" t="n"/>
      <c r="O5" s="12">
        <f>IF(tb_rechnungen[[#This Row],[Re-Datum]]&gt;0,MONTH(tb_rechnungen[[#This Row],[Re-Datum]]),"")</f>
        <v/>
      </c>
      <c r="P5" s="13">
        <f>IF(tb_rechnungen[[#This Row],[Re-Datum]]&gt;0,YEAR(tb_rechnungen[[#This Row],[Re-Datum]]),"")</f>
        <v/>
      </c>
      <c r="Q5" s="19">
        <f>IF(tb_rechnungen[[#This Row],[Brutto]]&lt;&gt;0,tb_rechnungen[[#This Row],[Brutto]]-tb_rechnungen[[#This Row],[Netto]],"")</f>
        <v/>
      </c>
      <c r="R5" s="37">
        <f>IF(tb_rechnungen[[#This Row],[Netto]]&lt;&gt;0,ROUND(tb_rechnungen[[#This Row],[Steuer]]/tb_rechnungen[[#This Row],[Netto]],2),"")</f>
        <v/>
      </c>
    </row>
    <row r="6" hidden="1">
      <c r="A6" s="26" t="n">
        <v>45659</v>
      </c>
      <c r="B6" s="27" t="inlineStr">
        <is>
          <t>Ruf-Schorg</t>
        </is>
      </c>
      <c r="C6" s="28" t="inlineStr">
        <is>
          <t>Miete 01/2025</t>
        </is>
      </c>
      <c r="D6" s="28" t="inlineStr">
        <is>
          <t>K</t>
        </is>
      </c>
      <c r="E6" s="27" t="inlineStr">
        <is>
          <t>Miete</t>
        </is>
      </c>
      <c r="F6" s="29" t="n">
        <v>225</v>
      </c>
      <c r="G6" s="29" t="n">
        <v>225</v>
      </c>
      <c r="H6" s="30" t="inlineStr">
        <is>
          <t>X</t>
        </is>
      </c>
      <c r="I6" s="30" t="inlineStr">
        <is>
          <t>D</t>
        </is>
      </c>
      <c r="J6" s="30" t="inlineStr">
        <is>
          <t>M</t>
        </is>
      </c>
      <c r="K6" s="50" t="n"/>
      <c r="L6" s="50" t="n"/>
      <c r="M6" s="49" t="n"/>
      <c r="N6" s="31" t="n"/>
      <c r="O6" s="12">
        <f>IF(tb_rechnungen[[#This Row],[Re-Datum]]&gt;0,MONTH(tb_rechnungen[[#This Row],[Re-Datum]]),"")</f>
        <v/>
      </c>
      <c r="P6" s="13">
        <f>IF(tb_rechnungen[[#This Row],[Re-Datum]]&gt;0,YEAR(tb_rechnungen[[#This Row],[Re-Datum]]),"")</f>
        <v/>
      </c>
      <c r="Q6" s="19">
        <f>IF(tb_rechnungen[[#This Row],[Brutto]]&lt;&gt;0,tb_rechnungen[[#This Row],[Brutto]]-tb_rechnungen[[#This Row],[Netto]],"")</f>
        <v/>
      </c>
      <c r="R6" s="37">
        <f>IF(tb_rechnungen[[#This Row],[Netto]]&lt;&gt;0,ROUND(tb_rechnungen[[#This Row],[Steuer]]/tb_rechnungen[[#This Row],[Netto]],2),"")</f>
        <v/>
      </c>
    </row>
    <row r="7" hidden="1">
      <c r="A7" s="26" t="n">
        <v>45664</v>
      </c>
      <c r="B7" s="27" t="inlineStr">
        <is>
          <t>FP Digital</t>
        </is>
      </c>
      <c r="C7" s="28" t="inlineStr">
        <is>
          <t>20250101-11278</t>
        </is>
      </c>
      <c r="D7" s="28" t="inlineStr">
        <is>
          <t>E</t>
        </is>
      </c>
      <c r="E7" s="27" t="inlineStr">
        <is>
          <t>FP Sign Business Benutzerlizenz</t>
        </is>
      </c>
      <c r="F7" s="29" t="n">
        <v>335.16</v>
      </c>
      <c r="G7" s="29" t="n">
        <v>398.84</v>
      </c>
      <c r="H7" s="30" t="inlineStr">
        <is>
          <t>X</t>
        </is>
      </c>
      <c r="I7" s="31" t="inlineStr">
        <is>
          <t>Z</t>
        </is>
      </c>
      <c r="J7" s="31" t="inlineStr">
        <is>
          <t>M</t>
        </is>
      </c>
      <c r="K7" s="50" t="n"/>
      <c r="L7" s="50" t="n"/>
      <c r="M7" s="49" t="n"/>
      <c r="N7" s="31" t="n"/>
      <c r="O7" s="12">
        <f>IF(tb_rechnungen[[#This Row],[Re-Datum]]&gt;0,MONTH(tb_rechnungen[[#This Row],[Re-Datum]]),"")</f>
        <v/>
      </c>
      <c r="P7" s="13">
        <f>IF(tb_rechnungen[[#This Row],[Re-Datum]]&gt;0,YEAR(tb_rechnungen[[#This Row],[Re-Datum]]),"")</f>
        <v/>
      </c>
      <c r="Q7" s="19">
        <f>IF(tb_rechnungen[[#This Row],[Brutto]]&lt;&gt;0,tb_rechnungen[[#This Row],[Brutto]]-tb_rechnungen[[#This Row],[Netto]],"")</f>
        <v/>
      </c>
      <c r="R7" s="37">
        <f>IF(tb_rechnungen[[#This Row],[Netto]]&lt;&gt;0,ROUND(tb_rechnungen[[#This Row],[Steuer]]/tb_rechnungen[[#This Row],[Netto]],2),"")</f>
        <v/>
      </c>
    </row>
    <row r="8" hidden="1">
      <c r="A8" s="26" t="n">
        <v>45659</v>
      </c>
      <c r="B8" s="27" t="inlineStr">
        <is>
          <t>Splashtop</t>
        </is>
      </c>
      <c r="C8" s="28" t="inlineStr">
        <is>
          <t>02TP250102854310</t>
        </is>
      </c>
      <c r="D8" s="28" t="inlineStr">
        <is>
          <t>E</t>
        </is>
      </c>
      <c r="E8" s="27" t="inlineStr">
        <is>
          <t>Fernzugriffslizenz</t>
        </is>
      </c>
      <c r="F8" s="29" t="n">
        <v>405</v>
      </c>
      <c r="G8" s="29" t="n">
        <v>405</v>
      </c>
      <c r="H8" s="30" t="inlineStr">
        <is>
          <t>X</t>
        </is>
      </c>
      <c r="I8" s="31" t="inlineStr">
        <is>
          <t>A</t>
        </is>
      </c>
      <c r="J8" s="31" t="inlineStr">
        <is>
          <t>M</t>
        </is>
      </c>
      <c r="K8" s="50" t="n"/>
      <c r="L8" s="50" t="n"/>
      <c r="M8" s="49" t="n"/>
      <c r="N8" s="31" t="n"/>
      <c r="O8" s="12">
        <f>IF(tb_rechnungen[[#This Row],[Re-Datum]]&gt;0,MONTH(tb_rechnungen[[#This Row],[Re-Datum]]),"")</f>
        <v/>
      </c>
      <c r="P8" s="13">
        <f>IF(tb_rechnungen[[#This Row],[Re-Datum]]&gt;0,YEAR(tb_rechnungen[[#This Row],[Re-Datum]]),"")</f>
        <v/>
      </c>
      <c r="Q8" s="19">
        <f>IF(tb_rechnungen[[#This Row],[Brutto]]&lt;&gt;0,tb_rechnungen[[#This Row],[Brutto]]-tb_rechnungen[[#This Row],[Netto]],"")</f>
        <v/>
      </c>
      <c r="R8" s="37">
        <f>IF(tb_rechnungen[[#This Row],[Netto]]&lt;&gt;0,ROUND(tb_rechnungen[[#This Row],[Steuer]]/tb_rechnungen[[#This Row],[Netto]],2),"")</f>
        <v/>
      </c>
    </row>
    <row r="9" hidden="1">
      <c r="A9" s="26" t="n">
        <v>45659</v>
      </c>
      <c r="B9" s="27" t="inlineStr">
        <is>
          <t>Synaxon</t>
        </is>
      </c>
      <c r="C9" s="28" t="inlineStr">
        <is>
          <t>RG 40412858</t>
        </is>
      </c>
      <c r="D9" s="28" t="inlineStr">
        <is>
          <t>K1</t>
        </is>
      </c>
      <c r="E9" s="27" t="inlineStr">
        <is>
          <t>Synaxon-Betrag (letzte RG)</t>
        </is>
      </c>
      <c r="F9" s="29" t="n">
        <v>110</v>
      </c>
      <c r="G9" s="29" t="n">
        <v>130.9</v>
      </c>
      <c r="H9" s="30" t="inlineStr">
        <is>
          <t>X</t>
        </is>
      </c>
      <c r="I9" s="31" t="inlineStr">
        <is>
          <t>A</t>
        </is>
      </c>
      <c r="J9" s="31" t="inlineStr">
        <is>
          <t>M</t>
        </is>
      </c>
      <c r="K9" s="50" t="n"/>
      <c r="L9" s="50" t="n"/>
      <c r="M9" s="49" t="n"/>
      <c r="N9" s="31" t="n"/>
      <c r="O9" s="12">
        <f>IF(tb_rechnungen[[#This Row],[Re-Datum]]&gt;0,MONTH(tb_rechnungen[[#This Row],[Re-Datum]]),"")</f>
        <v/>
      </c>
      <c r="P9" s="13">
        <f>IF(tb_rechnungen[[#This Row],[Re-Datum]]&gt;0,YEAR(tb_rechnungen[[#This Row],[Re-Datum]]),"")</f>
        <v/>
      </c>
      <c r="Q9" s="19">
        <f>IF(tb_rechnungen[[#This Row],[Brutto]]&lt;&gt;0,tb_rechnungen[[#This Row],[Brutto]]-tb_rechnungen[[#This Row],[Netto]],"")</f>
        <v/>
      </c>
      <c r="R9" s="37">
        <f>IF(tb_rechnungen[[#This Row],[Netto]]&lt;&gt;0,ROUND(tb_rechnungen[[#This Row],[Steuer]]/tb_rechnungen[[#This Row],[Netto]],2),"")</f>
        <v/>
      </c>
    </row>
    <row r="10" hidden="1">
      <c r="A10" s="26" t="n">
        <v>45659</v>
      </c>
      <c r="B10" s="27" t="inlineStr">
        <is>
          <t>Greiner</t>
        </is>
      </c>
      <c r="C10" s="28" t="inlineStr">
        <is>
          <t>GM8268</t>
        </is>
      </c>
      <c r="D10" s="28" t="inlineStr">
        <is>
          <t>K</t>
        </is>
      </c>
      <c r="E10" s="27" t="inlineStr">
        <is>
          <t>Buchhaltung 11/2024</t>
        </is>
      </c>
      <c r="F10" s="29" t="n">
        <v>90</v>
      </c>
      <c r="G10" s="29" t="n">
        <v>107</v>
      </c>
      <c r="H10" s="30" t="inlineStr">
        <is>
          <t>X</t>
        </is>
      </c>
      <c r="I10" s="31" t="inlineStr">
        <is>
          <t>Z</t>
        </is>
      </c>
      <c r="J10" s="31" t="inlineStr">
        <is>
          <t>M</t>
        </is>
      </c>
      <c r="K10" s="50" t="n"/>
      <c r="L10" s="50" t="n"/>
      <c r="M10" s="49" t="n"/>
      <c r="N10" s="31" t="n"/>
      <c r="O10" s="12">
        <f>IF(tb_rechnungen[[#This Row],[Re-Datum]]&gt;0,MONTH(tb_rechnungen[[#This Row],[Re-Datum]]),"")</f>
        <v/>
      </c>
      <c r="P10" s="13">
        <f>IF(tb_rechnungen[[#This Row],[Re-Datum]]&gt;0,YEAR(tb_rechnungen[[#This Row],[Re-Datum]]),"")</f>
        <v/>
      </c>
      <c r="Q10" s="19">
        <f>IF(tb_rechnungen[[#This Row],[Brutto]]&lt;&gt;0,tb_rechnungen[[#This Row],[Brutto]]-tb_rechnungen[[#This Row],[Netto]],"")</f>
        <v/>
      </c>
      <c r="R10" s="37">
        <f>IF(tb_rechnungen[[#This Row],[Netto]]&lt;&gt;0,ROUND(tb_rechnungen[[#This Row],[Steuer]]/tb_rechnungen[[#This Row],[Netto]],2),"")</f>
        <v/>
      </c>
    </row>
    <row r="11" hidden="1">
      <c r="A11" s="26" t="n">
        <v>45659</v>
      </c>
      <c r="B11" s="27" t="inlineStr">
        <is>
          <t>Synaxon</t>
        </is>
      </c>
      <c r="C11" s="51" t="n">
        <v>10208487</v>
      </c>
      <c r="D11" s="51" t="inlineStr">
        <is>
          <t>E</t>
        </is>
      </c>
      <c r="E11" s="27" t="inlineStr">
        <is>
          <t>APC GOV/EDU/HEALTHCARE RBC55</t>
        </is>
      </c>
      <c r="F11" s="29" t="n">
        <v>400.66</v>
      </c>
      <c r="G11" s="29" t="n">
        <v>476.79</v>
      </c>
      <c r="H11" s="30" t="inlineStr">
        <is>
          <t>X</t>
        </is>
      </c>
      <c r="I11" s="31" t="inlineStr">
        <is>
          <t>A</t>
        </is>
      </c>
      <c r="J11" s="31" t="inlineStr">
        <is>
          <t>M</t>
        </is>
      </c>
      <c r="K11" s="50" t="n"/>
      <c r="L11" s="50" t="n"/>
      <c r="M11" s="49" t="n"/>
      <c r="N11" s="31" t="n"/>
      <c r="O11" s="12">
        <f>IF(tb_rechnungen[[#This Row],[Re-Datum]]&gt;0,MONTH(tb_rechnungen[[#This Row],[Re-Datum]]),"")</f>
        <v/>
      </c>
      <c r="P11" s="13">
        <f>IF(tb_rechnungen[[#This Row],[Re-Datum]]&gt;0,YEAR(tb_rechnungen[[#This Row],[Re-Datum]]),"")</f>
        <v/>
      </c>
      <c r="Q11" s="19">
        <f>IF(tb_rechnungen[[#This Row],[Brutto]]&lt;&gt;0,tb_rechnungen[[#This Row],[Brutto]]-tb_rechnungen[[#This Row],[Netto]],"")</f>
        <v/>
      </c>
      <c r="R11" s="37">
        <f>IF(tb_rechnungen[[#This Row],[Netto]]&lt;&gt;0,ROUND(tb_rechnungen[[#This Row],[Steuer]]/tb_rechnungen[[#This Row],[Netto]],2),"")</f>
        <v/>
      </c>
    </row>
    <row r="12" hidden="1">
      <c r="A12" s="26" t="n">
        <v>45658</v>
      </c>
      <c r="B12" s="27" t="inlineStr">
        <is>
          <t>VW Leasing</t>
        </is>
      </c>
      <c r="C12" s="51" t="n">
        <v>10235971499</v>
      </c>
      <c r="D12" s="51" t="inlineStr">
        <is>
          <t>K</t>
        </is>
      </c>
      <c r="E12" s="27" t="inlineStr">
        <is>
          <t>Service-Rate 01.2025</t>
        </is>
      </c>
      <c r="F12" s="29" t="n">
        <v>37.43</v>
      </c>
      <c r="G12" s="29" t="n">
        <v>44.54</v>
      </c>
      <c r="H12" s="30" t="inlineStr">
        <is>
          <t>X</t>
        </is>
      </c>
      <c r="I12" s="31" t="inlineStr">
        <is>
          <t>A</t>
        </is>
      </c>
      <c r="J12" s="31" t="inlineStr">
        <is>
          <t>M</t>
        </is>
      </c>
      <c r="K12" s="50" t="n"/>
      <c r="L12" s="50" t="n"/>
      <c r="M12" s="49" t="n"/>
      <c r="N12" s="31" t="n"/>
      <c r="O12" s="12">
        <f>IF(tb_rechnungen[[#This Row],[Re-Datum]]&gt;0,MONTH(tb_rechnungen[[#This Row],[Re-Datum]]),"")</f>
        <v/>
      </c>
      <c r="P12" s="13">
        <f>IF(tb_rechnungen[[#This Row],[Re-Datum]]&gt;0,YEAR(tb_rechnungen[[#This Row],[Re-Datum]]),"")</f>
        <v/>
      </c>
      <c r="Q12" s="19">
        <f>IF(tb_rechnungen[[#This Row],[Brutto]]&lt;&gt;0,tb_rechnungen[[#This Row],[Brutto]]-tb_rechnungen[[#This Row],[Netto]],"")</f>
        <v/>
      </c>
      <c r="R12" s="37">
        <f>IF(tb_rechnungen[[#This Row],[Netto]]&lt;&gt;0,ROUND(tb_rechnungen[[#This Row],[Steuer]]/tb_rechnungen[[#This Row],[Netto]],2),"")</f>
        <v/>
      </c>
    </row>
    <row r="13" hidden="1">
      <c r="A13" s="26" t="n">
        <v>45663</v>
      </c>
      <c r="B13" s="27" t="inlineStr">
        <is>
          <t>GS1 Aisbl</t>
        </is>
      </c>
      <c r="C13" s="51" t="n">
        <v>2025104254</v>
      </c>
      <c r="D13" s="51" t="inlineStr">
        <is>
          <t>K</t>
        </is>
      </c>
      <c r="E13" s="27" t="inlineStr">
        <is>
          <t>LEI-Verlängerung</t>
        </is>
      </c>
      <c r="F13" s="29" t="n">
        <v>59</v>
      </c>
      <c r="G13" s="29" t="n">
        <v>59</v>
      </c>
      <c r="H13" s="30" t="inlineStr">
        <is>
          <t>X</t>
        </is>
      </c>
      <c r="I13" s="31" t="inlineStr">
        <is>
          <t>A</t>
        </is>
      </c>
      <c r="J13" s="31" t="inlineStr">
        <is>
          <t>M</t>
        </is>
      </c>
      <c r="K13" s="50" t="n"/>
      <c r="L13" s="50" t="n"/>
      <c r="M13" s="49" t="n"/>
      <c r="N13" s="31" t="inlineStr">
        <is>
          <t>FX</t>
        </is>
      </c>
      <c r="O13" s="12">
        <f>IF(tb_rechnungen[[#This Row],[Re-Datum]]&gt;0,MONTH(tb_rechnungen[[#This Row],[Re-Datum]]),"")</f>
        <v/>
      </c>
      <c r="P13" s="13">
        <f>IF(tb_rechnungen[[#This Row],[Re-Datum]]&gt;0,YEAR(tb_rechnungen[[#This Row],[Re-Datum]]),"")</f>
        <v/>
      </c>
      <c r="Q13" s="19">
        <f>IF(tb_rechnungen[[#This Row],[Brutto]]&lt;&gt;0,tb_rechnungen[[#This Row],[Brutto]]-tb_rechnungen[[#This Row],[Netto]],"")</f>
        <v/>
      </c>
      <c r="R13" s="37">
        <f>IF(tb_rechnungen[[#This Row],[Netto]]&lt;&gt;0,ROUND(tb_rechnungen[[#This Row],[Steuer]]/tb_rechnungen[[#This Row],[Netto]],2),"")</f>
        <v/>
      </c>
    </row>
    <row r="14" hidden="1">
      <c r="A14" s="26" t="n">
        <v>45663</v>
      </c>
      <c r="B14" s="27" t="inlineStr">
        <is>
          <t>Sage</t>
        </is>
      </c>
      <c r="C14" s="28" t="inlineStr">
        <is>
          <t>2025-1087742</t>
        </is>
      </c>
      <c r="D14" s="28" t="inlineStr">
        <is>
          <t>K</t>
        </is>
      </c>
      <c r="E14" s="27" t="inlineStr">
        <is>
          <t>Sage Business Cloud Lohnabrechnung</t>
        </is>
      </c>
      <c r="F14" s="29" t="n">
        <v>26</v>
      </c>
      <c r="G14" s="29" t="n">
        <v>30.94</v>
      </c>
      <c r="H14" s="30" t="inlineStr">
        <is>
          <t>X</t>
        </is>
      </c>
      <c r="I14" s="31" t="inlineStr">
        <is>
          <t>A</t>
        </is>
      </c>
      <c r="J14" s="31" t="inlineStr">
        <is>
          <t>M</t>
        </is>
      </c>
      <c r="K14" s="50" t="n"/>
      <c r="L14" s="50" t="n"/>
      <c r="M14" s="49" t="n"/>
      <c r="N14" s="31" t="n"/>
      <c r="O14" s="12">
        <f>IF(tb_rechnungen[[#This Row],[Re-Datum]]&gt;0,MONTH(tb_rechnungen[[#This Row],[Re-Datum]]),"")</f>
        <v/>
      </c>
      <c r="P14" s="13">
        <f>IF(tb_rechnungen[[#This Row],[Re-Datum]]&gt;0,YEAR(tb_rechnungen[[#This Row],[Re-Datum]]),"")</f>
        <v/>
      </c>
      <c r="Q14" s="19">
        <f>IF(tb_rechnungen[[#This Row],[Brutto]]&lt;&gt;0,tb_rechnungen[[#This Row],[Brutto]]-tb_rechnungen[[#This Row],[Netto]],"")</f>
        <v/>
      </c>
      <c r="R14" s="37">
        <f>IF(tb_rechnungen[[#This Row],[Netto]]&lt;&gt;0,ROUND(tb_rechnungen[[#This Row],[Steuer]]/tb_rechnungen[[#This Row],[Netto]],2),"")</f>
        <v/>
      </c>
    </row>
    <row r="15" hidden="1">
      <c r="A15" s="26" t="n">
        <v>45663</v>
      </c>
      <c r="B15" s="27" t="inlineStr">
        <is>
          <t>Cyberport</t>
        </is>
      </c>
      <c r="C15" s="28" t="inlineStr">
        <is>
          <t>R6004817729</t>
        </is>
      </c>
      <c r="D15" s="28" t="inlineStr">
        <is>
          <t>E</t>
        </is>
      </c>
      <c r="E15" s="27" t="inlineStr">
        <is>
          <t>Synology DS423 NAS System 4-Bay 48 TB</t>
        </is>
      </c>
      <c r="F15" s="29" t="n">
        <v>1369.75</v>
      </c>
      <c r="G15" s="29" t="n">
        <v>1630</v>
      </c>
      <c r="H15" s="30" t="inlineStr">
        <is>
          <t>X</t>
        </is>
      </c>
      <c r="I15" s="31" t="inlineStr">
        <is>
          <t>Z</t>
        </is>
      </c>
      <c r="J15" s="31" t="inlineStr">
        <is>
          <t>M</t>
        </is>
      </c>
      <c r="K15" s="50" t="n"/>
      <c r="L15" s="50" t="n"/>
      <c r="M15" s="49" t="n"/>
      <c r="N15" s="31" t="n"/>
      <c r="O15" s="12">
        <f>IF(tb_rechnungen[[#This Row],[Re-Datum]]&gt;0,MONTH(tb_rechnungen[[#This Row],[Re-Datum]]),"")</f>
        <v/>
      </c>
      <c r="P15" s="13">
        <f>IF(tb_rechnungen[[#This Row],[Re-Datum]]&gt;0,YEAR(tb_rechnungen[[#This Row],[Re-Datum]]),"")</f>
        <v/>
      </c>
      <c r="Q15" s="19">
        <f>IF(tb_rechnungen[[#This Row],[Brutto]]&lt;&gt;0,tb_rechnungen[[#This Row],[Brutto]]-tb_rechnungen[[#This Row],[Netto]],"")</f>
        <v/>
      </c>
      <c r="R15" s="37">
        <f>IF(tb_rechnungen[[#This Row],[Netto]]&lt;&gt;0,ROUND(tb_rechnungen[[#This Row],[Steuer]]/tb_rechnungen[[#This Row],[Netto]],2),"")</f>
        <v/>
      </c>
    </row>
    <row r="16" hidden="1">
      <c r="A16" s="26" t="n">
        <v>45663</v>
      </c>
      <c r="B16" s="27" t="inlineStr">
        <is>
          <t>IKK Südwest</t>
        </is>
      </c>
      <c r="C16" s="28" t="inlineStr">
        <is>
          <t>51x259195x2729x</t>
        </is>
      </c>
      <c r="D16" s="28" t="inlineStr">
        <is>
          <t>K</t>
        </is>
      </c>
      <c r="E16" s="27" t="inlineStr">
        <is>
          <t>Säumniszuschläge</t>
        </is>
      </c>
      <c r="F16" s="29" t="n">
        <v>1.5</v>
      </c>
      <c r="G16" s="29" t="n">
        <v>1.5</v>
      </c>
      <c r="H16" s="30" t="inlineStr">
        <is>
          <t>X</t>
        </is>
      </c>
      <c r="I16" s="31" t="inlineStr">
        <is>
          <t>Z</t>
        </is>
      </c>
      <c r="J16" s="31" t="inlineStr">
        <is>
          <t>M</t>
        </is>
      </c>
      <c r="K16" s="50" t="n"/>
      <c r="L16" s="50" t="n"/>
      <c r="M16" s="49" t="n"/>
      <c r="N16" s="31" t="n"/>
      <c r="O16" s="12">
        <f>IF(tb_rechnungen[[#This Row],[Re-Datum]]&gt;0,MONTH(tb_rechnungen[[#This Row],[Re-Datum]]),"")</f>
        <v/>
      </c>
      <c r="P16" s="13">
        <f>IF(tb_rechnungen[[#This Row],[Re-Datum]]&gt;0,YEAR(tb_rechnungen[[#This Row],[Re-Datum]]),"")</f>
        <v/>
      </c>
      <c r="Q16" s="19">
        <f>IF(tb_rechnungen[[#This Row],[Brutto]]&lt;&gt;0,tb_rechnungen[[#This Row],[Brutto]]-tb_rechnungen[[#This Row],[Netto]],"")</f>
        <v/>
      </c>
      <c r="R16" s="37">
        <f>IF(tb_rechnungen[[#This Row],[Netto]]&lt;&gt;0,ROUND(tb_rechnungen[[#This Row],[Steuer]]/tb_rechnungen[[#This Row],[Netto]],2),"")</f>
        <v/>
      </c>
    </row>
    <row r="17" hidden="1">
      <c r="A17" s="26" t="n">
        <v>45664</v>
      </c>
      <c r="B17" s="27" t="inlineStr">
        <is>
          <t>Lizensio (OEM-Vertriebs GmbH )</t>
        </is>
      </c>
      <c r="C17" s="28" t="inlineStr">
        <is>
          <t>OEM-L-2025580596</t>
        </is>
      </c>
      <c r="D17" s="28" t="inlineStr">
        <is>
          <t>E</t>
        </is>
      </c>
      <c r="E17" s="27" t="inlineStr">
        <is>
          <t>Microsoft Windows 10/11 Professional</t>
        </is>
      </c>
      <c r="F17" s="29" t="n">
        <v>12.52</v>
      </c>
      <c r="G17" s="29" t="n">
        <v>14.9</v>
      </c>
      <c r="H17" s="30" t="inlineStr">
        <is>
          <t>X</t>
        </is>
      </c>
      <c r="I17" s="31" t="inlineStr">
        <is>
          <t>A</t>
        </is>
      </c>
      <c r="J17" s="31" t="inlineStr">
        <is>
          <t>M</t>
        </is>
      </c>
      <c r="K17" s="50" t="n"/>
      <c r="L17" s="50" t="n"/>
      <c r="M17" s="49" t="n"/>
      <c r="N17" s="31" t="n"/>
      <c r="O17" s="12">
        <f>IF(tb_rechnungen[[#This Row],[Re-Datum]]&gt;0,MONTH(tb_rechnungen[[#This Row],[Re-Datum]]),"")</f>
        <v/>
      </c>
      <c r="P17" s="13">
        <f>IF(tb_rechnungen[[#This Row],[Re-Datum]]&gt;0,YEAR(tb_rechnungen[[#This Row],[Re-Datum]]),"")</f>
        <v/>
      </c>
      <c r="Q17" s="19">
        <f>IF(tb_rechnungen[[#This Row],[Brutto]]&lt;&gt;0,tb_rechnungen[[#This Row],[Brutto]]-tb_rechnungen[[#This Row],[Netto]],"")</f>
        <v/>
      </c>
      <c r="R17" s="37">
        <f>IF(tb_rechnungen[[#This Row],[Netto]]&lt;&gt;0,ROUND(tb_rechnungen[[#This Row],[Steuer]]/tb_rechnungen[[#This Row],[Netto]],2),"")</f>
        <v/>
      </c>
    </row>
    <row r="18" hidden="1">
      <c r="A18" s="26" t="n">
        <v>45664</v>
      </c>
      <c r="B18" s="27" t="inlineStr">
        <is>
          <t>Haus&amp;Grund</t>
        </is>
      </c>
      <c r="C18" s="28" t="inlineStr">
        <is>
          <t>Mietvertrag</t>
        </is>
      </c>
      <c r="D18" s="28" t="n"/>
      <c r="E18" s="27" t="inlineStr">
        <is>
          <t>Mietkaution</t>
        </is>
      </c>
      <c r="F18" s="52" t="n">
        <v>2000</v>
      </c>
      <c r="G18" s="52" t="n">
        <v>2000</v>
      </c>
      <c r="H18" s="30" t="inlineStr">
        <is>
          <t>X</t>
        </is>
      </c>
      <c r="I18" s="31" t="inlineStr">
        <is>
          <t>Z</t>
        </is>
      </c>
      <c r="J18" s="31" t="inlineStr">
        <is>
          <t>M</t>
        </is>
      </c>
      <c r="K18" s="50" t="n"/>
      <c r="L18" s="50" t="n"/>
      <c r="M18" s="49" t="n"/>
      <c r="N18" s="31" t="n"/>
      <c r="O18" s="12">
        <f>IF(tb_rechnungen[[#This Row],[Re-Datum]]&gt;0,MONTH(tb_rechnungen[[#This Row],[Re-Datum]]),"")</f>
        <v/>
      </c>
      <c r="P18" s="13">
        <f>IF(tb_rechnungen[[#This Row],[Re-Datum]]&gt;0,YEAR(tb_rechnungen[[#This Row],[Re-Datum]]),"")</f>
        <v/>
      </c>
      <c r="Q18" s="19">
        <f>IF(tb_rechnungen[[#This Row],[Brutto]]&lt;&gt;0,tb_rechnungen[[#This Row],[Brutto]]-tb_rechnungen[[#This Row],[Netto]],"")</f>
        <v/>
      </c>
      <c r="R18" s="37">
        <f>IF(tb_rechnungen[[#This Row],[Netto]]&lt;&gt;0,ROUND(tb_rechnungen[[#This Row],[Steuer]]/tb_rechnungen[[#This Row],[Netto]],2),"")</f>
        <v/>
      </c>
    </row>
    <row r="19" hidden="1">
      <c r="A19" s="26" t="n">
        <v>45665</v>
      </c>
      <c r="B19" s="27" t="inlineStr">
        <is>
          <t>Four Js</t>
        </is>
      </c>
      <c r="C19" s="28" t="inlineStr">
        <is>
          <t>SI000535</t>
        </is>
      </c>
      <c r="D19" s="28" t="inlineStr">
        <is>
          <t>E</t>
        </is>
      </c>
      <c r="E19" s="27" t="inlineStr">
        <is>
          <t>Genero Developer/Runtime</t>
        </is>
      </c>
      <c r="F19" s="52" t="n">
        <v>4004</v>
      </c>
      <c r="G19" s="52" t="n">
        <v>4004</v>
      </c>
      <c r="H19" s="30" t="inlineStr">
        <is>
          <t>X</t>
        </is>
      </c>
      <c r="I19" s="31" t="inlineStr">
        <is>
          <t>Z</t>
        </is>
      </c>
      <c r="J19" s="31" t="inlineStr">
        <is>
          <t>M</t>
        </is>
      </c>
      <c r="K19" s="50" t="n"/>
      <c r="L19" s="50" t="n"/>
      <c r="M19" s="49" t="n"/>
      <c r="N19" s="31" t="n"/>
      <c r="O19" s="12">
        <f>IF(tb_rechnungen[[#This Row],[Re-Datum]]&gt;0,MONTH(tb_rechnungen[[#This Row],[Re-Datum]]),"")</f>
        <v/>
      </c>
      <c r="P19" s="13">
        <f>IF(tb_rechnungen[[#This Row],[Re-Datum]]&gt;0,YEAR(tb_rechnungen[[#This Row],[Re-Datum]]),"")</f>
        <v/>
      </c>
      <c r="Q19" s="19">
        <f>IF(tb_rechnungen[[#This Row],[Brutto]]&lt;&gt;0,tb_rechnungen[[#This Row],[Brutto]]-tb_rechnungen[[#This Row],[Netto]],"")</f>
        <v/>
      </c>
      <c r="R19" s="37">
        <f>IF(tb_rechnungen[[#This Row],[Netto]]&lt;&gt;0,ROUND(tb_rechnungen[[#This Row],[Steuer]]/tb_rechnungen[[#This Row],[Netto]],2),"")</f>
        <v/>
      </c>
    </row>
    <row r="20" hidden="1">
      <c r="A20" s="26" t="n">
        <v>45666</v>
      </c>
      <c r="B20" s="27" t="inlineStr">
        <is>
          <t>Wortmann</t>
        </is>
      </c>
      <c r="C20" s="28" t="inlineStr">
        <is>
          <t>DR8404100</t>
        </is>
      </c>
      <c r="D20" s="28" t="inlineStr">
        <is>
          <t>E</t>
        </is>
      </c>
      <c r="E20" s="27" t="inlineStr">
        <is>
          <t>TERRA CLOUD</t>
        </is>
      </c>
      <c r="F20" s="29" t="n">
        <v>9.9</v>
      </c>
      <c r="G20" s="29" t="n">
        <v>11.78</v>
      </c>
      <c r="H20" s="30" t="inlineStr">
        <is>
          <t>X</t>
        </is>
      </c>
      <c r="I20" s="31" t="inlineStr">
        <is>
          <t>Z</t>
        </is>
      </c>
      <c r="J20" s="31" t="inlineStr">
        <is>
          <t>M</t>
        </is>
      </c>
      <c r="K20" s="50" t="n"/>
      <c r="L20" s="50" t="n"/>
      <c r="M20" s="49" t="n"/>
      <c r="N20" s="31" t="n"/>
      <c r="O20" s="12">
        <f>IF(tb_rechnungen[[#This Row],[Re-Datum]]&gt;0,MONTH(tb_rechnungen[[#This Row],[Re-Datum]]),"")</f>
        <v/>
      </c>
      <c r="P20" s="13">
        <f>IF(tb_rechnungen[[#This Row],[Re-Datum]]&gt;0,YEAR(tb_rechnungen[[#This Row],[Re-Datum]]),"")</f>
        <v/>
      </c>
      <c r="Q20" s="19">
        <f>IF(tb_rechnungen[[#This Row],[Brutto]]&lt;&gt;0,tb_rechnungen[[#This Row],[Brutto]]-tb_rechnungen[[#This Row],[Netto]],"")</f>
        <v/>
      </c>
      <c r="R20" s="37">
        <f>IF(tb_rechnungen[[#This Row],[Netto]]&lt;&gt;0,ROUND(tb_rechnungen[[#This Row],[Steuer]]/tb_rechnungen[[#This Row],[Netto]],2),"")</f>
        <v/>
      </c>
    </row>
    <row r="21" hidden="1">
      <c r="A21" s="26" t="n">
        <v>45667</v>
      </c>
      <c r="B21" s="27" t="inlineStr">
        <is>
          <t>Ratiokontakt</t>
        </is>
      </c>
      <c r="C21" s="28" t="inlineStr">
        <is>
          <t xml:space="preserve">R10865717 </t>
        </is>
      </c>
      <c r="D21" s="28" t="inlineStr">
        <is>
          <t>E</t>
        </is>
      </c>
      <c r="E21" s="27" t="inlineStr">
        <is>
          <t>ResellerWeb M, Linux - monatliche Miete -</t>
        </is>
      </c>
      <c r="F21" s="29" t="n">
        <v>29.9</v>
      </c>
      <c r="G21" s="29" t="n">
        <v>35.58</v>
      </c>
      <c r="H21" s="30" t="inlineStr">
        <is>
          <t>X</t>
        </is>
      </c>
      <c r="I21" s="31" t="inlineStr">
        <is>
          <t>Z</t>
        </is>
      </c>
      <c r="J21" s="31" t="inlineStr">
        <is>
          <t>M</t>
        </is>
      </c>
      <c r="K21" s="50" t="n"/>
      <c r="L21" s="50" t="n"/>
      <c r="M21" s="49" t="n"/>
      <c r="N21" s="31" t="n"/>
      <c r="O21" s="12">
        <f>IF(tb_rechnungen[[#This Row],[Re-Datum]]&gt;0,MONTH(tb_rechnungen[[#This Row],[Re-Datum]]),"")</f>
        <v/>
      </c>
      <c r="P21" s="13">
        <f>IF(tb_rechnungen[[#This Row],[Re-Datum]]&gt;0,YEAR(tb_rechnungen[[#This Row],[Re-Datum]]),"")</f>
        <v/>
      </c>
      <c r="Q21" s="19">
        <f>IF(tb_rechnungen[[#This Row],[Brutto]]&lt;&gt;0,tb_rechnungen[[#This Row],[Brutto]]-tb_rechnungen[[#This Row],[Netto]],"")</f>
        <v/>
      </c>
      <c r="R21" s="37">
        <f>IF(tb_rechnungen[[#This Row],[Netto]]&lt;&gt;0,ROUND(tb_rechnungen[[#This Row],[Steuer]]/tb_rechnungen[[#This Row],[Netto]],2),"")</f>
        <v/>
      </c>
    </row>
    <row r="22" hidden="1">
      <c r="A22" s="26" t="n">
        <v>45668</v>
      </c>
      <c r="B22" s="27" t="inlineStr">
        <is>
          <t>VitalWorks noIP</t>
        </is>
      </c>
      <c r="C22" s="53" t="inlineStr">
        <is>
          <t>INV5252826</t>
        </is>
      </c>
      <c r="D22" s="53" t="inlineStr">
        <is>
          <t>E</t>
        </is>
      </c>
      <c r="E22" s="27" t="inlineStr">
        <is>
          <t>Dynamic DNS bis 25 Hosts 34,99 USD</t>
        </is>
      </c>
      <c r="F22" s="29" t="n">
        <v>35.68</v>
      </c>
      <c r="G22" s="29" t="n">
        <v>35.68</v>
      </c>
      <c r="H22" s="30" t="inlineStr">
        <is>
          <t>X</t>
        </is>
      </c>
      <c r="I22" s="31" t="inlineStr">
        <is>
          <t>A</t>
        </is>
      </c>
      <c r="J22" s="31" t="inlineStr">
        <is>
          <t>M</t>
        </is>
      </c>
      <c r="K22" s="50" t="n"/>
      <c r="L22" s="50" t="n"/>
      <c r="M22" s="49" t="n"/>
      <c r="N22" s="31" t="n"/>
      <c r="O22" s="12">
        <f>IF(tb_rechnungen[[#This Row],[Re-Datum]]&gt;0,MONTH(tb_rechnungen[[#This Row],[Re-Datum]]),"")</f>
        <v/>
      </c>
      <c r="P22" s="13">
        <f>IF(tb_rechnungen[[#This Row],[Re-Datum]]&gt;0,YEAR(tb_rechnungen[[#This Row],[Re-Datum]]),"")</f>
        <v/>
      </c>
      <c r="Q22" s="19">
        <f>IF(tb_rechnungen[[#This Row],[Brutto]]&lt;&gt;0,tb_rechnungen[[#This Row],[Brutto]]-tb_rechnungen[[#This Row],[Netto]],"")</f>
        <v/>
      </c>
      <c r="R22" s="37">
        <f>IF(tb_rechnungen[[#This Row],[Netto]]&lt;&gt;0,ROUND(tb_rechnungen[[#This Row],[Steuer]]/tb_rechnungen[[#This Row],[Netto]],2),"")</f>
        <v/>
      </c>
    </row>
    <row r="23" hidden="1">
      <c r="A23" s="26" t="n">
        <v>45670</v>
      </c>
      <c r="B23" s="27" t="inlineStr">
        <is>
          <t>IT-Anger Kassen24</t>
        </is>
      </c>
      <c r="C23" s="28" t="inlineStr">
        <is>
          <t>RE2597-2025</t>
        </is>
      </c>
      <c r="D23" s="28" t="inlineStr">
        <is>
          <t>E</t>
        </is>
      </c>
      <c r="E23" s="27" t="inlineStr">
        <is>
          <t>Netzteil Sunmi D2 mini fü KVP</t>
        </is>
      </c>
      <c r="F23" s="29" t="n">
        <v>44.93</v>
      </c>
      <c r="G23" s="29" t="n">
        <v>53.47</v>
      </c>
      <c r="H23" s="30" t="inlineStr">
        <is>
          <t>X</t>
        </is>
      </c>
      <c r="I23" s="31" t="inlineStr">
        <is>
          <t>A</t>
        </is>
      </c>
      <c r="J23" s="31" t="inlineStr">
        <is>
          <t>M</t>
        </is>
      </c>
      <c r="K23" s="50" t="n"/>
      <c r="L23" s="50" t="n"/>
      <c r="M23" s="49" t="n"/>
      <c r="N23" s="31" t="n"/>
      <c r="O23" s="12">
        <f>IF(tb_rechnungen[[#This Row],[Re-Datum]]&gt;0,MONTH(tb_rechnungen[[#This Row],[Re-Datum]]),"")</f>
        <v/>
      </c>
      <c r="P23" s="13">
        <f>IF(tb_rechnungen[[#This Row],[Re-Datum]]&gt;0,YEAR(tb_rechnungen[[#This Row],[Re-Datum]]),"")</f>
        <v/>
      </c>
      <c r="Q23" s="19">
        <f>IF(tb_rechnungen[[#This Row],[Brutto]]&lt;&gt;0,tb_rechnungen[[#This Row],[Brutto]]-tb_rechnungen[[#This Row],[Netto]],"")</f>
        <v/>
      </c>
      <c r="R23" s="37">
        <f>IF(tb_rechnungen[[#This Row],[Netto]]&lt;&gt;0,ROUND(tb_rechnungen[[#This Row],[Steuer]]/tb_rechnungen[[#This Row],[Netto]],2),"")</f>
        <v/>
      </c>
    </row>
    <row r="24" hidden="1">
      <c r="A24" s="26" t="n">
        <v>45670</v>
      </c>
      <c r="B24" s="27" t="inlineStr">
        <is>
          <t>Telekom</t>
        </is>
      </c>
      <c r="C24" s="28" t="inlineStr">
        <is>
          <t>34 1459 3400 0551</t>
        </is>
      </c>
      <c r="D24" s="28" t="inlineStr">
        <is>
          <t>K</t>
        </is>
      </c>
      <c r="E24" s="27" t="inlineStr">
        <is>
          <t>Mobilfunk-Rechnung Sz</t>
        </is>
      </c>
      <c r="F24" s="29" t="n">
        <v>13.55</v>
      </c>
      <c r="G24" s="29" t="n">
        <v>16.12</v>
      </c>
      <c r="H24" s="30" t="inlineStr">
        <is>
          <t>X</t>
        </is>
      </c>
      <c r="I24" s="30" t="inlineStr">
        <is>
          <t>A</t>
        </is>
      </c>
      <c r="J24" s="31" t="inlineStr">
        <is>
          <t>M</t>
        </is>
      </c>
      <c r="K24" s="50" t="n"/>
      <c r="L24" s="50" t="n"/>
      <c r="M24" s="49" t="n"/>
      <c r="N24" s="31" t="n"/>
      <c r="O24" s="12">
        <f>IF(tb_rechnungen[[#This Row],[Re-Datum]]&gt;0,MONTH(tb_rechnungen[[#This Row],[Re-Datum]]),"")</f>
        <v/>
      </c>
      <c r="P24" s="13">
        <f>IF(tb_rechnungen[[#This Row],[Re-Datum]]&gt;0,YEAR(tb_rechnungen[[#This Row],[Re-Datum]]),"")</f>
        <v/>
      </c>
      <c r="Q24" s="19">
        <f>IF(tb_rechnungen[[#This Row],[Brutto]]&lt;&gt;0,tb_rechnungen[[#This Row],[Brutto]]-tb_rechnungen[[#This Row],[Netto]],"")</f>
        <v/>
      </c>
      <c r="R24" s="37">
        <f>IF(tb_rechnungen[[#This Row],[Netto]]&lt;&gt;0,ROUND(tb_rechnungen[[#This Row],[Steuer]]/tb_rechnungen[[#This Row],[Netto]],2),"")</f>
        <v/>
      </c>
    </row>
    <row r="25" hidden="1">
      <c r="A25" s="26" t="n">
        <v>45671</v>
      </c>
      <c r="B25" s="27" t="inlineStr">
        <is>
          <t>DHL</t>
        </is>
      </c>
      <c r="C25" s="28" t="inlineStr">
        <is>
          <t>DOF-250114YY3B4PF2ZLNW-0039385437</t>
        </is>
      </c>
      <c r="D25" s="28" t="inlineStr">
        <is>
          <t>E</t>
        </is>
      </c>
      <c r="E25" s="27" t="n"/>
      <c r="F25" s="29" t="n">
        <v>6.19</v>
      </c>
      <c r="G25" s="29" t="n">
        <v>6.19</v>
      </c>
      <c r="H25" s="30" t="inlineStr">
        <is>
          <t>X</t>
        </is>
      </c>
      <c r="I25" s="30" t="inlineStr">
        <is>
          <t>A</t>
        </is>
      </c>
      <c r="J25" s="31" t="inlineStr">
        <is>
          <t>M</t>
        </is>
      </c>
      <c r="K25" s="50" t="n"/>
      <c r="L25" s="50" t="n"/>
      <c r="M25" s="49" t="n"/>
      <c r="N25" s="31" t="n"/>
      <c r="O25" s="12">
        <f>IF(tb_rechnungen[[#This Row],[Re-Datum]]&gt;0,MONTH(tb_rechnungen[[#This Row],[Re-Datum]]),"")</f>
        <v/>
      </c>
      <c r="P25" s="13">
        <f>IF(tb_rechnungen[[#This Row],[Re-Datum]]&gt;0,YEAR(tb_rechnungen[[#This Row],[Re-Datum]]),"")</f>
        <v/>
      </c>
      <c r="Q25" s="19">
        <f>IF(tb_rechnungen[[#This Row],[Brutto]]&lt;&gt;0,tb_rechnungen[[#This Row],[Brutto]]-tb_rechnungen[[#This Row],[Netto]],"")</f>
        <v/>
      </c>
      <c r="R25" s="37">
        <f>IF(tb_rechnungen[[#This Row],[Netto]]&lt;&gt;0,ROUND(tb_rechnungen[[#This Row],[Steuer]]/tb_rechnungen[[#This Row],[Netto]],2),"")</f>
        <v/>
      </c>
    </row>
    <row r="26" hidden="1">
      <c r="A26" s="26" t="n">
        <v>45672</v>
      </c>
      <c r="B26" s="27" t="inlineStr">
        <is>
          <t>wolkesicher</t>
        </is>
      </c>
      <c r="C26" s="28" t="inlineStr">
        <is>
          <t>RG 376500</t>
        </is>
      </c>
      <c r="D26" s="28" t="inlineStr">
        <is>
          <t>K</t>
        </is>
      </c>
      <c r="E26" s="27" t="inlineStr">
        <is>
          <t>Premium Silber (C) - uhde.wolkesicher.de</t>
        </is>
      </c>
      <c r="F26" s="29" t="n">
        <v>4.19</v>
      </c>
      <c r="G26" s="29" t="n">
        <v>4.99</v>
      </c>
      <c r="H26" s="30" t="inlineStr">
        <is>
          <t>X</t>
        </is>
      </c>
      <c r="I26" s="30" t="inlineStr">
        <is>
          <t>A</t>
        </is>
      </c>
      <c r="J26" s="31" t="inlineStr">
        <is>
          <t>M</t>
        </is>
      </c>
      <c r="K26" s="50" t="n"/>
      <c r="L26" s="50" t="n"/>
      <c r="M26" s="49" t="n"/>
      <c r="N26" s="31" t="n"/>
      <c r="O26" s="12">
        <f>IF(tb_rechnungen[[#This Row],[Re-Datum]]&gt;0,MONTH(tb_rechnungen[[#This Row],[Re-Datum]]),"")</f>
        <v/>
      </c>
      <c r="P26" s="13">
        <f>IF(tb_rechnungen[[#This Row],[Re-Datum]]&gt;0,YEAR(tb_rechnungen[[#This Row],[Re-Datum]]),"")</f>
        <v/>
      </c>
      <c r="Q26" s="19">
        <f>IF(tb_rechnungen[[#This Row],[Brutto]]&lt;&gt;0,tb_rechnungen[[#This Row],[Brutto]]-tb_rechnungen[[#This Row],[Netto]],"")</f>
        <v/>
      </c>
      <c r="R26" s="37">
        <f>IF(tb_rechnungen[[#This Row],[Netto]]&lt;&gt;0,ROUND(tb_rechnungen[[#This Row],[Steuer]]/tb_rechnungen[[#This Row],[Netto]],2),"")</f>
        <v/>
      </c>
    </row>
    <row r="27" hidden="1">
      <c r="A27" s="26" t="n">
        <v>45670</v>
      </c>
      <c r="B27" s="27" t="inlineStr">
        <is>
          <t>Novitas BKK</t>
        </is>
      </c>
      <c r="C27" s="28" t="inlineStr">
        <is>
          <t>RG 52432626</t>
        </is>
      </c>
      <c r="D27" s="28" t="inlineStr">
        <is>
          <t>K</t>
        </is>
      </c>
      <c r="E27" s="27" t="inlineStr">
        <is>
          <t>Säumniszuschläge</t>
        </is>
      </c>
      <c r="F27" s="29" t="n">
        <v>4.5</v>
      </c>
      <c r="G27" s="29" t="n">
        <v>4.5</v>
      </c>
      <c r="H27" s="30" t="inlineStr">
        <is>
          <t>X</t>
        </is>
      </c>
      <c r="I27" s="30" t="inlineStr">
        <is>
          <t>Z</t>
        </is>
      </c>
      <c r="J27" s="31" t="inlineStr">
        <is>
          <t>M</t>
        </is>
      </c>
      <c r="K27" s="50" t="n"/>
      <c r="L27" s="50" t="n"/>
      <c r="M27" s="49" t="n"/>
      <c r="N27" s="31" t="n"/>
      <c r="O27" s="12">
        <f>IF(tb_rechnungen[[#This Row],[Re-Datum]]&gt;0,MONTH(tb_rechnungen[[#This Row],[Re-Datum]]),"")</f>
        <v/>
      </c>
      <c r="P27" s="13">
        <f>IF(tb_rechnungen[[#This Row],[Re-Datum]]&gt;0,YEAR(tb_rechnungen[[#This Row],[Re-Datum]]),"")</f>
        <v/>
      </c>
      <c r="Q27" s="19">
        <f>IF(tb_rechnungen[[#This Row],[Brutto]]&lt;&gt;0,tb_rechnungen[[#This Row],[Brutto]]-tb_rechnungen[[#This Row],[Netto]],"")</f>
        <v/>
      </c>
      <c r="R27" s="37">
        <f>IF(tb_rechnungen[[#This Row],[Netto]]&lt;&gt;0,ROUND(tb_rechnungen[[#This Row],[Steuer]]/tb_rechnungen[[#This Row],[Netto]],2),"")</f>
        <v/>
      </c>
    </row>
    <row r="28" hidden="1">
      <c r="A28" s="26" t="n">
        <v>45672</v>
      </c>
      <c r="B28" s="27" t="inlineStr">
        <is>
          <t>Blau</t>
        </is>
      </c>
      <c r="C28" s="28" t="inlineStr">
        <is>
          <t>R116990920508</t>
        </is>
      </c>
      <c r="D28" s="28" t="inlineStr">
        <is>
          <t>K</t>
        </is>
      </c>
      <c r="E28" s="27" t="inlineStr">
        <is>
          <t>Faszl Mobil Januar</t>
        </is>
      </c>
      <c r="F28" s="29" t="n">
        <v>6.71</v>
      </c>
      <c r="G28" s="29" t="n">
        <v>7.99</v>
      </c>
      <c r="H28" s="30" t="inlineStr">
        <is>
          <t>X</t>
        </is>
      </c>
      <c r="I28" s="30" t="inlineStr">
        <is>
          <t>A</t>
        </is>
      </c>
      <c r="J28" s="31" t="inlineStr">
        <is>
          <t>M</t>
        </is>
      </c>
      <c r="K28" s="50" t="n"/>
      <c r="L28" s="50" t="n"/>
      <c r="M28" s="49" t="n"/>
      <c r="N28" s="31" t="n"/>
      <c r="O28" s="12">
        <f>IF(tb_rechnungen[[#This Row],[Re-Datum]]&gt;0,MONTH(tb_rechnungen[[#This Row],[Re-Datum]]),"")</f>
        <v/>
      </c>
      <c r="P28" s="13">
        <f>IF(tb_rechnungen[[#This Row],[Re-Datum]]&gt;0,YEAR(tb_rechnungen[[#This Row],[Re-Datum]]),"")</f>
        <v/>
      </c>
      <c r="Q28" s="19">
        <f>IF(tb_rechnungen[[#This Row],[Brutto]]&lt;&gt;0,tb_rechnungen[[#This Row],[Brutto]]-tb_rechnungen[[#This Row],[Netto]],"")</f>
        <v/>
      </c>
      <c r="R28" s="37">
        <f>IF(tb_rechnungen[[#This Row],[Netto]]&lt;&gt;0,ROUND(tb_rechnungen[[#This Row],[Steuer]]/tb_rechnungen[[#This Row],[Netto]],2),"")</f>
        <v/>
      </c>
    </row>
    <row r="29" hidden="1">
      <c r="A29" s="26" t="n">
        <v>45673</v>
      </c>
      <c r="B29" s="27" t="inlineStr">
        <is>
          <t>Telekom</t>
        </is>
      </c>
      <c r="C29" s="28" t="inlineStr">
        <is>
          <t>772 276 4393</t>
        </is>
      </c>
      <c r="D29" s="28" t="inlineStr">
        <is>
          <t>K</t>
        </is>
      </c>
      <c r="E29" s="27" t="inlineStr">
        <is>
          <t>Festnetz-Rechnung Schulze Januar</t>
        </is>
      </c>
      <c r="F29" s="29" t="n">
        <v>33.57</v>
      </c>
      <c r="G29" s="29" t="n">
        <v>39.95</v>
      </c>
      <c r="H29" s="30" t="inlineStr">
        <is>
          <t>X</t>
        </is>
      </c>
      <c r="I29" s="30" t="inlineStr">
        <is>
          <t>A</t>
        </is>
      </c>
      <c r="J29" s="31" t="inlineStr">
        <is>
          <t>M</t>
        </is>
      </c>
      <c r="K29" s="50" t="n"/>
      <c r="L29" s="50" t="n"/>
      <c r="M29" s="49" t="n"/>
      <c r="N29" s="31" t="n"/>
      <c r="O29" s="12">
        <f>IF(tb_rechnungen[[#This Row],[Re-Datum]]&gt;0,MONTH(tb_rechnungen[[#This Row],[Re-Datum]]),"")</f>
        <v/>
      </c>
      <c r="P29" s="13">
        <f>IF(tb_rechnungen[[#This Row],[Re-Datum]]&gt;0,YEAR(tb_rechnungen[[#This Row],[Re-Datum]]),"")</f>
        <v/>
      </c>
      <c r="Q29" s="19">
        <f>IF(tb_rechnungen[[#This Row],[Brutto]]&lt;&gt;0,tb_rechnungen[[#This Row],[Brutto]]-tb_rechnungen[[#This Row],[Netto]],"")</f>
        <v/>
      </c>
      <c r="R29" s="37">
        <f>IF(tb_rechnungen[[#This Row],[Netto]]&lt;&gt;0,ROUND(tb_rechnungen[[#This Row],[Steuer]]/tb_rechnungen[[#This Row],[Netto]],2),"")</f>
        <v/>
      </c>
    </row>
    <row r="30" hidden="1">
      <c r="A30" s="26" t="n">
        <v>45673</v>
      </c>
      <c r="B30" s="27" t="inlineStr">
        <is>
          <t>Bundesanzeiger</t>
        </is>
      </c>
      <c r="C30" s="28" t="inlineStr">
        <is>
          <t>R95589489</t>
        </is>
      </c>
      <c r="D30" s="28" t="inlineStr">
        <is>
          <t>K1</t>
        </is>
      </c>
      <c r="E30" s="27" t="inlineStr">
        <is>
          <t>Einstellungs- u. Prüfungsgebühr, Jahresgebühr</t>
        </is>
      </c>
      <c r="F30" s="29" t="n">
        <v>38.3</v>
      </c>
      <c r="G30" s="29" t="n">
        <v>45.58</v>
      </c>
      <c r="H30" s="30" t="inlineStr">
        <is>
          <t>X</t>
        </is>
      </c>
      <c r="I30" s="30" t="inlineStr">
        <is>
          <t>Z</t>
        </is>
      </c>
      <c r="J30" s="31" t="inlineStr">
        <is>
          <t>M</t>
        </is>
      </c>
      <c r="K30" s="50" t="n"/>
      <c r="L30" s="50" t="n"/>
      <c r="M30" s="49" t="n"/>
      <c r="N30" s="31" t="n"/>
      <c r="O30" s="12">
        <f>IF(tb_rechnungen[[#This Row],[Re-Datum]]&gt;0,MONTH(tb_rechnungen[[#This Row],[Re-Datum]]),"")</f>
        <v/>
      </c>
      <c r="P30" s="13">
        <f>IF(tb_rechnungen[[#This Row],[Re-Datum]]&gt;0,YEAR(tb_rechnungen[[#This Row],[Re-Datum]]),"")</f>
        <v/>
      </c>
      <c r="Q30" s="19">
        <f>IF(tb_rechnungen[[#This Row],[Brutto]]&lt;&gt;0,tb_rechnungen[[#This Row],[Brutto]]-tb_rechnungen[[#This Row],[Netto]],"")</f>
        <v/>
      </c>
      <c r="R30" s="37">
        <f>IF(tb_rechnungen[[#This Row],[Netto]]&lt;&gt;0,ROUND(tb_rechnungen[[#This Row],[Steuer]]/tb_rechnungen[[#This Row],[Netto]],2),"")</f>
        <v/>
      </c>
    </row>
    <row r="31" hidden="1">
      <c r="A31" s="26" t="n">
        <v>45677</v>
      </c>
      <c r="B31" s="27" t="inlineStr">
        <is>
          <t>API</t>
        </is>
      </c>
      <c r="C31" s="28" t="inlineStr">
        <is>
          <t>R13581808</t>
        </is>
      </c>
      <c r="D31" s="28" t="inlineStr">
        <is>
          <t>E</t>
        </is>
      </c>
      <c r="E31" s="27" t="inlineStr">
        <is>
          <t>Huawei B353-235a LTE-Router UHDE intern</t>
        </is>
      </c>
      <c r="F31" s="29" t="n">
        <v>96.88</v>
      </c>
      <c r="G31" s="29" t="n">
        <v>115.29</v>
      </c>
      <c r="H31" s="30" t="inlineStr">
        <is>
          <t>X</t>
        </is>
      </c>
      <c r="I31" s="30" t="inlineStr">
        <is>
          <t>Z</t>
        </is>
      </c>
      <c r="J31" s="31" t="inlineStr">
        <is>
          <t>M</t>
        </is>
      </c>
      <c r="K31" s="50" t="n"/>
      <c r="L31" s="50" t="n"/>
      <c r="M31" s="49" t="n"/>
      <c r="N31" s="31" t="n"/>
      <c r="O31" s="12">
        <f>IF(tb_rechnungen[[#This Row],[Re-Datum]]&gt;0,MONTH(tb_rechnungen[[#This Row],[Re-Datum]]),"")</f>
        <v/>
      </c>
      <c r="P31" s="13">
        <f>IF(tb_rechnungen[[#This Row],[Re-Datum]]&gt;0,YEAR(tb_rechnungen[[#This Row],[Re-Datum]]),"")</f>
        <v/>
      </c>
      <c r="Q31" s="19">
        <f>IF(tb_rechnungen[[#This Row],[Brutto]]&lt;&gt;0,tb_rechnungen[[#This Row],[Brutto]]-tb_rechnungen[[#This Row],[Netto]],"")</f>
        <v/>
      </c>
      <c r="R31" s="37">
        <f>IF(tb_rechnungen[[#This Row],[Netto]]&lt;&gt;0,ROUND(tb_rechnungen[[#This Row],[Steuer]]/tb_rechnungen[[#This Row],[Netto]],2),"")</f>
        <v/>
      </c>
    </row>
    <row r="32" hidden="1">
      <c r="A32" s="26" t="n">
        <v>45672</v>
      </c>
      <c r="B32" s="27" t="inlineStr">
        <is>
          <t>DKV</t>
        </is>
      </c>
      <c r="C32" s="28" t="inlineStr">
        <is>
          <t>25/641384149/000</t>
        </is>
      </c>
      <c r="D32" s="28" t="inlineStr">
        <is>
          <t>K</t>
        </is>
      </c>
      <c r="E32" s="27" t="inlineStr">
        <is>
          <t>Abrechnung</t>
        </is>
      </c>
      <c r="F32" s="29" t="n">
        <v>198.7</v>
      </c>
      <c r="G32" s="29" t="n">
        <v>236.45</v>
      </c>
      <c r="H32" s="30" t="inlineStr">
        <is>
          <t>X</t>
        </is>
      </c>
      <c r="I32" s="30" t="inlineStr">
        <is>
          <t>A</t>
        </is>
      </c>
      <c r="J32" s="31" t="inlineStr">
        <is>
          <t>M</t>
        </is>
      </c>
      <c r="K32" s="50" t="n"/>
      <c r="L32" s="50" t="n"/>
      <c r="M32" s="49" t="n"/>
      <c r="N32" s="31" t="n"/>
      <c r="O32" s="12">
        <f>IF(tb_rechnungen[[#This Row],[Re-Datum]]&gt;0,MONTH(tb_rechnungen[[#This Row],[Re-Datum]]),"")</f>
        <v/>
      </c>
      <c r="P32" s="13">
        <f>IF(tb_rechnungen[[#This Row],[Re-Datum]]&gt;0,YEAR(tb_rechnungen[[#This Row],[Re-Datum]]),"")</f>
        <v/>
      </c>
      <c r="Q32" s="19">
        <f>IF(tb_rechnungen[[#This Row],[Brutto]]&lt;&gt;0,tb_rechnungen[[#This Row],[Brutto]]-tb_rechnungen[[#This Row],[Netto]],"")</f>
        <v/>
      </c>
      <c r="R32" s="37">
        <f>IF(tb_rechnungen[[#This Row],[Netto]]&lt;&gt;0,ROUND(tb_rechnungen[[#This Row],[Steuer]]/tb_rechnungen[[#This Row],[Netto]],2),"")</f>
        <v/>
      </c>
    </row>
    <row r="33" hidden="1">
      <c r="A33" s="26" t="n">
        <v>45678</v>
      </c>
      <c r="B33" s="27" t="inlineStr">
        <is>
          <t>Telekom</t>
        </is>
      </c>
      <c r="C33" s="28" t="inlineStr">
        <is>
          <t>772 543 0663</t>
        </is>
      </c>
      <c r="D33" s="28" t="inlineStr">
        <is>
          <t>K</t>
        </is>
      </c>
      <c r="E33" s="27" t="inlineStr">
        <is>
          <t>Faszl Januar</t>
        </is>
      </c>
      <c r="F33" s="29" t="n">
        <v>37.77</v>
      </c>
      <c r="G33" s="29" t="n">
        <v>44.95</v>
      </c>
      <c r="H33" s="30" t="inlineStr">
        <is>
          <t>X</t>
        </is>
      </c>
      <c r="I33" s="30" t="inlineStr">
        <is>
          <t>A</t>
        </is>
      </c>
      <c r="J33" s="30" t="inlineStr">
        <is>
          <t>M</t>
        </is>
      </c>
      <c r="K33" s="50" t="n"/>
      <c r="L33" s="50" t="n"/>
      <c r="M33" s="49" t="n"/>
      <c r="N33" s="31" t="n"/>
      <c r="O33" s="12">
        <f>IF(tb_rechnungen[[#This Row],[Re-Datum]]&gt;0,MONTH(tb_rechnungen[[#This Row],[Re-Datum]]),"")</f>
        <v/>
      </c>
      <c r="P33" s="13">
        <f>IF(tb_rechnungen[[#This Row],[Re-Datum]]&gt;0,YEAR(tb_rechnungen[[#This Row],[Re-Datum]]),"")</f>
        <v/>
      </c>
      <c r="Q33" s="19">
        <f>IF(tb_rechnungen[[#This Row],[Brutto]]&lt;&gt;0,tb_rechnungen[[#This Row],[Brutto]]-tb_rechnungen[[#This Row],[Netto]],"")</f>
        <v/>
      </c>
      <c r="R33" s="37">
        <f>IF(tb_rechnungen[[#This Row],[Netto]]&lt;&gt;0,ROUND(tb_rechnungen[[#This Row],[Steuer]]/tb_rechnungen[[#This Row],[Netto]],2),"")</f>
        <v/>
      </c>
    </row>
    <row r="34" hidden="1">
      <c r="A34" s="26" t="n">
        <v>45680</v>
      </c>
      <c r="B34" s="27" t="inlineStr">
        <is>
          <t>IT-Anger Kassen24</t>
        </is>
      </c>
      <c r="C34" s="28" t="inlineStr">
        <is>
          <t>RE2615-2025</t>
        </is>
      </c>
      <c r="D34" s="28" t="inlineStr">
        <is>
          <t>E</t>
        </is>
      </c>
      <c r="E34" s="27" t="inlineStr">
        <is>
          <t>2 x Sunmi D2 mini</t>
        </is>
      </c>
      <c r="F34" s="29" t="n">
        <v>398</v>
      </c>
      <c r="G34" s="29" t="n">
        <v>473.62</v>
      </c>
      <c r="H34" s="30" t="inlineStr">
        <is>
          <t>X</t>
        </is>
      </c>
      <c r="I34" s="30" t="inlineStr">
        <is>
          <t>Z</t>
        </is>
      </c>
      <c r="J34" s="31" t="inlineStr">
        <is>
          <t>M</t>
        </is>
      </c>
      <c r="K34" s="50" t="n"/>
      <c r="L34" s="50" t="n"/>
      <c r="M34" s="49" t="n"/>
      <c r="N34" s="31" t="n"/>
      <c r="O34" s="12">
        <f>IF(tb_rechnungen[[#This Row],[Re-Datum]]&gt;0,MONTH(tb_rechnungen[[#This Row],[Re-Datum]]),"")</f>
        <v/>
      </c>
      <c r="P34" s="13">
        <f>IF(tb_rechnungen[[#This Row],[Re-Datum]]&gt;0,YEAR(tb_rechnungen[[#This Row],[Re-Datum]]),"")</f>
        <v/>
      </c>
      <c r="Q34" s="19">
        <f>IF(tb_rechnungen[[#This Row],[Brutto]]&lt;&gt;0,tb_rechnungen[[#This Row],[Brutto]]-tb_rechnungen[[#This Row],[Netto]],"")</f>
        <v/>
      </c>
      <c r="R34" s="37">
        <f>IF(tb_rechnungen[[#This Row],[Netto]]&lt;&gt;0,ROUND(tb_rechnungen[[#This Row],[Steuer]]/tb_rechnungen[[#This Row],[Netto]],2),"")</f>
        <v/>
      </c>
    </row>
    <row r="35" hidden="1">
      <c r="A35" s="26" t="n">
        <v>45680</v>
      </c>
      <c r="B35" s="27" t="inlineStr">
        <is>
          <t>Stadtwerke Speyer</t>
        </is>
      </c>
      <c r="C35" s="28" t="inlineStr">
        <is>
          <t>0002-ARV-2024-67296</t>
        </is>
      </c>
      <c r="D35" s="28" t="inlineStr">
        <is>
          <t>K</t>
        </is>
      </c>
      <c r="E35" s="27" t="inlineStr">
        <is>
          <t>Abrechnung 2024</t>
        </is>
      </c>
      <c r="F35" s="29" t="n">
        <v>-29.64</v>
      </c>
      <c r="G35" s="29" t="n">
        <v>-35.3</v>
      </c>
      <c r="H35" s="30" t="inlineStr">
        <is>
          <t>X</t>
        </is>
      </c>
      <c r="I35" s="30" t="inlineStr">
        <is>
          <t>A</t>
        </is>
      </c>
      <c r="J35" s="31" t="inlineStr">
        <is>
          <t>M</t>
        </is>
      </c>
      <c r="K35" s="50" t="n"/>
      <c r="L35" s="50" t="n"/>
      <c r="M35" s="49" t="n"/>
      <c r="N35" s="31" t="n"/>
      <c r="O35" s="12">
        <f>IF(tb_rechnungen[[#This Row],[Re-Datum]]&gt;0,MONTH(tb_rechnungen[[#This Row],[Re-Datum]]),"")</f>
        <v/>
      </c>
      <c r="P35" s="13">
        <f>IF(tb_rechnungen[[#This Row],[Re-Datum]]&gt;0,YEAR(tb_rechnungen[[#This Row],[Re-Datum]]),"")</f>
        <v/>
      </c>
      <c r="Q35" s="19">
        <f>IF(tb_rechnungen[[#This Row],[Brutto]]&lt;&gt;0,tb_rechnungen[[#This Row],[Brutto]]-tb_rechnungen[[#This Row],[Netto]],"")</f>
        <v/>
      </c>
      <c r="R35" s="37">
        <f>IF(tb_rechnungen[[#This Row],[Netto]]&lt;&gt;0,ROUND(tb_rechnungen[[#This Row],[Steuer]]/tb_rechnungen[[#This Row],[Netto]],2),"")</f>
        <v/>
      </c>
    </row>
    <row r="36" hidden="1">
      <c r="A36" s="26" t="n">
        <v>45686</v>
      </c>
      <c r="B36" s="27" t="inlineStr">
        <is>
          <t>Telekom</t>
        </is>
      </c>
      <c r="C36" s="28" t="inlineStr">
        <is>
          <t>772 953 5383</t>
        </is>
      </c>
      <c r="D36" s="28" t="inlineStr">
        <is>
          <t>K</t>
        </is>
      </c>
      <c r="E36" s="27" t="inlineStr">
        <is>
          <t>Büro Februar</t>
        </is>
      </c>
      <c r="F36" s="29" t="n">
        <v>39.9</v>
      </c>
      <c r="G36" s="29" t="n">
        <v>47.48</v>
      </c>
      <c r="H36" s="30" t="inlineStr">
        <is>
          <t>X</t>
        </is>
      </c>
      <c r="I36" s="30" t="inlineStr">
        <is>
          <t>A</t>
        </is>
      </c>
      <c r="J36" s="31" t="inlineStr">
        <is>
          <t>M</t>
        </is>
      </c>
      <c r="K36" s="50" t="n"/>
      <c r="L36" s="50" t="n"/>
      <c r="M36" s="49" t="n"/>
      <c r="N36" s="31" t="n"/>
      <c r="O36" s="12">
        <f>IF(tb_rechnungen[[#This Row],[Re-Datum]]&gt;0,MONTH(tb_rechnungen[[#This Row],[Re-Datum]]),"")</f>
        <v/>
      </c>
      <c r="P36" s="13">
        <f>IF(tb_rechnungen[[#This Row],[Re-Datum]]&gt;0,YEAR(tb_rechnungen[[#This Row],[Re-Datum]]),"")</f>
        <v/>
      </c>
      <c r="Q36" s="19">
        <f>IF(tb_rechnungen[[#This Row],[Brutto]]&lt;&gt;0,tb_rechnungen[[#This Row],[Brutto]]-tb_rechnungen[[#This Row],[Netto]],"")</f>
        <v/>
      </c>
      <c r="R36" s="37">
        <f>IF(tb_rechnungen[[#This Row],[Netto]]&lt;&gt;0,ROUND(tb_rechnungen[[#This Row],[Steuer]]/tb_rechnungen[[#This Row],[Netto]],2),"")</f>
        <v/>
      </c>
    </row>
    <row r="37" hidden="1">
      <c r="A37" s="26" t="n">
        <v>45687</v>
      </c>
      <c r="B37" s="27" t="inlineStr">
        <is>
          <t>DHL</t>
        </is>
      </c>
      <c r="C37" s="28" t="n"/>
      <c r="D37" s="28" t="inlineStr">
        <is>
          <t>E</t>
        </is>
      </c>
      <c r="E37" s="27" t="inlineStr">
        <is>
          <t>Paket KVP PayPal</t>
        </is>
      </c>
      <c r="F37" s="29" t="n">
        <v>7.69</v>
      </c>
      <c r="G37" s="29" t="n">
        <v>7.69</v>
      </c>
      <c r="H37" s="30" t="inlineStr">
        <is>
          <t>X</t>
        </is>
      </c>
      <c r="I37" s="30" t="inlineStr">
        <is>
          <t>A</t>
        </is>
      </c>
      <c r="J37" s="31" t="inlineStr">
        <is>
          <t>M</t>
        </is>
      </c>
      <c r="K37" s="50" t="n"/>
      <c r="L37" s="50" t="n"/>
      <c r="M37" s="49" t="n"/>
      <c r="N37" s="31" t="n"/>
      <c r="O37" s="12">
        <f>IF(tb_rechnungen[[#This Row],[Re-Datum]]&gt;0,MONTH(tb_rechnungen[[#This Row],[Re-Datum]]),"")</f>
        <v/>
      </c>
      <c r="P37" s="13">
        <f>IF(tb_rechnungen[[#This Row],[Re-Datum]]&gt;0,YEAR(tb_rechnungen[[#This Row],[Re-Datum]]),"")</f>
        <v/>
      </c>
      <c r="Q37" s="19">
        <f>IF(tb_rechnungen[[#This Row],[Brutto]]&lt;&gt;0,tb_rechnungen[[#This Row],[Brutto]]-tb_rechnungen[[#This Row],[Netto]],"")</f>
        <v/>
      </c>
      <c r="R37" s="37">
        <f>IF(tb_rechnungen[[#This Row],[Netto]]&lt;&gt;0,ROUND(tb_rechnungen[[#This Row],[Steuer]]/tb_rechnungen[[#This Row],[Netto]],2),"")</f>
        <v/>
      </c>
    </row>
    <row r="38" hidden="1">
      <c r="A38" s="26" t="n">
        <v>45687</v>
      </c>
      <c r="B38" s="27" t="inlineStr">
        <is>
          <t>DHL</t>
        </is>
      </c>
      <c r="C38" s="28" t="n"/>
      <c r="D38" s="28" t="inlineStr">
        <is>
          <t>E</t>
        </is>
      </c>
      <c r="E38" s="27" t="inlineStr">
        <is>
          <t>Paket KVP Visa FINOM Restbetrag</t>
        </is>
      </c>
      <c r="F38" s="29" t="n">
        <v>2.8</v>
      </c>
      <c r="G38" s="29" t="n">
        <v>2.8</v>
      </c>
      <c r="H38" s="30" t="inlineStr">
        <is>
          <t>X</t>
        </is>
      </c>
      <c r="I38" s="30" t="inlineStr">
        <is>
          <t>A</t>
        </is>
      </c>
      <c r="J38" s="31" t="inlineStr">
        <is>
          <t>M</t>
        </is>
      </c>
      <c r="K38" s="50" t="n"/>
      <c r="L38" s="50" t="n"/>
      <c r="M38" s="49" t="n"/>
      <c r="N38" s="31" t="inlineStr">
        <is>
          <t>FX</t>
        </is>
      </c>
      <c r="O38" s="12">
        <f>IF(tb_rechnungen[[#This Row],[Re-Datum]]&gt;0,MONTH(tb_rechnungen[[#This Row],[Re-Datum]]),"")</f>
        <v/>
      </c>
      <c r="P38" s="13">
        <f>IF(tb_rechnungen[[#This Row],[Re-Datum]]&gt;0,YEAR(tb_rechnungen[[#This Row],[Re-Datum]]),"")</f>
        <v/>
      </c>
      <c r="Q38" s="19">
        <f>IF(tb_rechnungen[[#This Row],[Brutto]]&lt;&gt;0,tb_rechnungen[[#This Row],[Brutto]]-tb_rechnungen[[#This Row],[Netto]],"")</f>
        <v/>
      </c>
      <c r="R38" s="37">
        <f>IF(tb_rechnungen[[#This Row],[Netto]]&lt;&gt;0,ROUND(tb_rechnungen[[#This Row],[Steuer]]/tb_rechnungen[[#This Row],[Netto]],2),"")</f>
        <v/>
      </c>
    </row>
    <row r="39" hidden="1">
      <c r="A39" s="26" t="n">
        <v>45687</v>
      </c>
      <c r="B39" s="27" t="inlineStr">
        <is>
          <t>Ehlert Software</t>
        </is>
      </c>
      <c r="C39" s="28" t="inlineStr">
        <is>
          <t>5-0125222</t>
        </is>
      </c>
      <c r="D39" s="28" t="inlineStr">
        <is>
          <t>E</t>
        </is>
      </c>
      <c r="E39" s="27" t="inlineStr">
        <is>
          <t>Drive Snapshot 1.5</t>
        </is>
      </c>
      <c r="F39" s="29" t="n">
        <v>32.77</v>
      </c>
      <c r="G39" s="29" t="n">
        <v>39</v>
      </c>
      <c r="H39" s="30" t="inlineStr">
        <is>
          <t>X</t>
        </is>
      </c>
      <c r="I39" s="30" t="inlineStr">
        <is>
          <t>A</t>
        </is>
      </c>
      <c r="J39" s="31" t="inlineStr">
        <is>
          <t>M</t>
        </is>
      </c>
      <c r="K39" s="50" t="n"/>
      <c r="L39" s="50" t="n"/>
      <c r="M39" s="49" t="n"/>
      <c r="N39" s="31" t="n"/>
      <c r="O39" s="12">
        <f>IF(tb_rechnungen[[#This Row],[Re-Datum]]&gt;0,MONTH(tb_rechnungen[[#This Row],[Re-Datum]]),"")</f>
        <v/>
      </c>
      <c r="P39" s="13">
        <f>IF(tb_rechnungen[[#This Row],[Re-Datum]]&gt;0,YEAR(tb_rechnungen[[#This Row],[Re-Datum]]),"")</f>
        <v/>
      </c>
      <c r="Q39" s="19">
        <f>IF(tb_rechnungen[[#This Row],[Brutto]]&lt;&gt;0,tb_rechnungen[[#This Row],[Brutto]]-tb_rechnungen[[#This Row],[Netto]],"")</f>
        <v/>
      </c>
      <c r="R39" s="37">
        <f>IF(tb_rechnungen[[#This Row],[Netto]]&lt;&gt;0,ROUND(tb_rechnungen[[#This Row],[Steuer]]/tb_rechnungen[[#This Row],[Netto]],2),"")</f>
        <v/>
      </c>
    </row>
    <row r="40" hidden="1">
      <c r="A40" s="26" t="n">
        <v>45687</v>
      </c>
      <c r="B40" s="27" t="inlineStr">
        <is>
          <t>API</t>
        </is>
      </c>
      <c r="C40" s="28" t="inlineStr">
        <is>
          <t>13619676</t>
        </is>
      </c>
      <c r="D40" s="28" t="inlineStr">
        <is>
          <t>E</t>
        </is>
      </c>
      <c r="E40" s="27" t="inlineStr">
        <is>
          <t>2 x Ubiquiti Accesspoint BLK</t>
        </is>
      </c>
      <c r="F40" s="29" t="n">
        <v>300.58</v>
      </c>
      <c r="G40" s="29" t="n">
        <v>357.69</v>
      </c>
      <c r="H40" s="30" t="inlineStr">
        <is>
          <t>X</t>
        </is>
      </c>
      <c r="I40" s="30" t="inlineStr">
        <is>
          <t>Z</t>
        </is>
      </c>
      <c r="J40" s="31" t="inlineStr">
        <is>
          <t>M</t>
        </is>
      </c>
      <c r="K40" s="50" t="n"/>
      <c r="L40" s="50" t="n"/>
      <c r="M40" s="49" t="n"/>
      <c r="N40" s="31" t="n"/>
      <c r="O40" s="12">
        <f>IF(tb_rechnungen[[#This Row],[Re-Datum]]&gt;0,MONTH(tb_rechnungen[[#This Row],[Re-Datum]]),"")</f>
        <v/>
      </c>
      <c r="P40" s="13">
        <f>IF(tb_rechnungen[[#This Row],[Re-Datum]]&gt;0,YEAR(tb_rechnungen[[#This Row],[Re-Datum]]),"")</f>
        <v/>
      </c>
      <c r="Q40" s="19">
        <f>IF(tb_rechnungen[[#This Row],[Brutto]]&lt;&gt;0,tb_rechnungen[[#This Row],[Brutto]]-tb_rechnungen[[#This Row],[Netto]],"")</f>
        <v/>
      </c>
      <c r="R40" s="37">
        <f>IF(tb_rechnungen[[#This Row],[Netto]]&lt;&gt;0,ROUND(tb_rechnungen[[#This Row],[Steuer]]/tb_rechnungen[[#This Row],[Netto]],2),"")</f>
        <v/>
      </c>
    </row>
    <row r="41" hidden="1">
      <c r="A41" s="26" t="n">
        <v>45688</v>
      </c>
      <c r="B41" s="27" t="inlineStr">
        <is>
          <t>Haus&amp;Grund</t>
        </is>
      </c>
      <c r="C41" s="28" t="inlineStr">
        <is>
          <t>NK-Abr 2023</t>
        </is>
      </c>
      <c r="D41" s="28" t="inlineStr">
        <is>
          <t>K</t>
        </is>
      </c>
      <c r="E41" s="27" t="inlineStr">
        <is>
          <t>NK-Abrechnung 2023</t>
        </is>
      </c>
      <c r="F41" s="29" t="n">
        <v>796.4400000000001</v>
      </c>
      <c r="G41" s="29" t="n">
        <v>796.4400000000001</v>
      </c>
      <c r="H41" s="30" t="inlineStr">
        <is>
          <t>X</t>
        </is>
      </c>
      <c r="I41" s="30" t="inlineStr">
        <is>
          <t>A</t>
        </is>
      </c>
      <c r="J41" s="30" t="inlineStr">
        <is>
          <t>M</t>
        </is>
      </c>
      <c r="K41" s="50" t="n"/>
      <c r="L41" s="50" t="n"/>
      <c r="M41" s="49" t="n"/>
      <c r="N41" s="31" t="n"/>
      <c r="O41" s="12">
        <f>IF(tb_rechnungen[[#This Row],[Re-Datum]]&gt;0,MONTH(tb_rechnungen[[#This Row],[Re-Datum]]),"")</f>
        <v/>
      </c>
      <c r="P41" s="13">
        <f>IF(tb_rechnungen[[#This Row],[Re-Datum]]&gt;0,YEAR(tb_rechnungen[[#This Row],[Re-Datum]]),"")</f>
        <v/>
      </c>
      <c r="Q41" s="19">
        <f>IF(tb_rechnungen[[#This Row],[Brutto]]&lt;&gt;0,tb_rechnungen[[#This Row],[Brutto]]-tb_rechnungen[[#This Row],[Netto]],"")</f>
        <v/>
      </c>
      <c r="R41" s="37">
        <f>IF(tb_rechnungen[[#This Row],[Netto]]&lt;&gt;0,ROUND(tb_rechnungen[[#This Row],[Steuer]]/tb_rechnungen[[#This Row],[Netto]],2),"")</f>
        <v/>
      </c>
    </row>
    <row r="42" hidden="1">
      <c r="A42" s="26" t="n">
        <v>45689</v>
      </c>
      <c r="B42" s="27" t="inlineStr">
        <is>
          <t>Sage</t>
        </is>
      </c>
      <c r="C42" s="28" t="inlineStr">
        <is>
          <t>2025-1110136</t>
        </is>
      </c>
      <c r="D42" s="28" t="inlineStr">
        <is>
          <t>K</t>
        </is>
      </c>
      <c r="E42" s="27" t="inlineStr">
        <is>
          <t>L&amp;G-Abrechnung</t>
        </is>
      </c>
      <c r="F42" s="29" t="n">
        <v>32.26</v>
      </c>
      <c r="G42" s="29" t="n">
        <v>38.26</v>
      </c>
      <c r="H42" s="30" t="inlineStr">
        <is>
          <t>X</t>
        </is>
      </c>
      <c r="I42" s="30" t="inlineStr">
        <is>
          <t>A</t>
        </is>
      </c>
      <c r="J42" s="31" t="inlineStr">
        <is>
          <t>M</t>
        </is>
      </c>
      <c r="K42" s="50" t="n"/>
      <c r="L42" s="50" t="n"/>
      <c r="M42" s="49" t="n"/>
      <c r="N42" s="31" t="n"/>
      <c r="O42" s="12">
        <f>IF(tb_rechnungen[[#This Row],[Re-Datum]]&gt;0,MONTH(tb_rechnungen[[#This Row],[Re-Datum]]),"")</f>
        <v/>
      </c>
      <c r="P42" s="13">
        <f>IF(tb_rechnungen[[#This Row],[Re-Datum]]&gt;0,YEAR(tb_rechnungen[[#This Row],[Re-Datum]]),"")</f>
        <v/>
      </c>
      <c r="Q42" s="19">
        <f>IF(tb_rechnungen[[#This Row],[Brutto]]&lt;&gt;0,tb_rechnungen[[#This Row],[Brutto]]-tb_rechnungen[[#This Row],[Netto]],"")</f>
        <v/>
      </c>
      <c r="R42" s="37">
        <f>IF(tb_rechnungen[[#This Row],[Netto]]&lt;&gt;0,ROUND(tb_rechnungen[[#This Row],[Steuer]]/tb_rechnungen[[#This Row],[Netto]],2),"")</f>
        <v/>
      </c>
    </row>
    <row r="43" hidden="1">
      <c r="A43" s="26" t="n">
        <v>45688</v>
      </c>
      <c r="B43" s="27" t="inlineStr">
        <is>
          <t>A&amp;N Electrorecycling</t>
        </is>
      </c>
      <c r="C43" s="28" t="inlineStr">
        <is>
          <t>20250173</t>
        </is>
      </c>
      <c r="D43" s="28" t="inlineStr">
        <is>
          <t>K1</t>
        </is>
      </c>
      <c r="E43" s="27" t="inlineStr">
        <is>
          <t>Schrottentsorgung</t>
        </is>
      </c>
      <c r="F43" s="29" t="n">
        <v>273.93</v>
      </c>
      <c r="G43" s="29" t="n">
        <v>325.98</v>
      </c>
      <c r="H43" s="30" t="inlineStr">
        <is>
          <t>X</t>
        </is>
      </c>
      <c r="I43" s="30" t="inlineStr">
        <is>
          <t>Z</t>
        </is>
      </c>
      <c r="J43" s="31" t="inlineStr">
        <is>
          <t>M</t>
        </is>
      </c>
      <c r="K43" s="50" t="n"/>
      <c r="L43" s="50" t="n"/>
      <c r="M43" s="49" t="n"/>
      <c r="N43" s="31" t="n"/>
      <c r="O43" s="12">
        <f>IF(tb_rechnungen[[#This Row],[Re-Datum]]&gt;0,MONTH(tb_rechnungen[[#This Row],[Re-Datum]]),"")</f>
        <v/>
      </c>
      <c r="P43" s="13">
        <f>IF(tb_rechnungen[[#This Row],[Re-Datum]]&gt;0,YEAR(tb_rechnungen[[#This Row],[Re-Datum]]),"")</f>
        <v/>
      </c>
      <c r="Q43" s="19">
        <f>IF(tb_rechnungen[[#This Row],[Brutto]]&lt;&gt;0,tb_rechnungen[[#This Row],[Brutto]]-tb_rechnungen[[#This Row],[Netto]],"")</f>
        <v/>
      </c>
      <c r="R43" s="37">
        <f>IF(tb_rechnungen[[#This Row],[Netto]]&lt;&gt;0,ROUND(tb_rechnungen[[#This Row],[Steuer]]/tb_rechnungen[[#This Row],[Netto]],2),"")</f>
        <v/>
      </c>
    </row>
    <row r="44" hidden="1">
      <c r="A44" s="26" t="n">
        <v>45688</v>
      </c>
      <c r="B44" s="27" t="inlineStr">
        <is>
          <t>A&amp;N Electrorecycling</t>
        </is>
      </c>
      <c r="C44" s="28" t="inlineStr">
        <is>
          <t>20250174</t>
        </is>
      </c>
      <c r="D44" s="28" t="inlineStr">
        <is>
          <t>K1</t>
        </is>
      </c>
      <c r="E44" s="27" t="inlineStr">
        <is>
          <t>Gutschrift Kleingeräte - Computer, Server</t>
        </is>
      </c>
      <c r="F44" s="29" t="n">
        <v>-8.6</v>
      </c>
      <c r="G44" s="29" t="n">
        <v>-8.6</v>
      </c>
      <c r="H44" s="30" t="inlineStr">
        <is>
          <t>X</t>
        </is>
      </c>
      <c r="I44" s="30" t="inlineStr">
        <is>
          <t>Z</t>
        </is>
      </c>
      <c r="J44" s="31" t="inlineStr">
        <is>
          <t>M</t>
        </is>
      </c>
      <c r="K44" s="50" t="n"/>
      <c r="L44" s="50" t="n"/>
      <c r="M44" s="49" t="n"/>
      <c r="N44" s="31" t="n"/>
      <c r="O44" s="12">
        <f>IF(tb_rechnungen[[#This Row],[Re-Datum]]&gt;0,MONTH(tb_rechnungen[[#This Row],[Re-Datum]]),"")</f>
        <v/>
      </c>
      <c r="P44" s="13">
        <f>IF(tb_rechnungen[[#This Row],[Re-Datum]]&gt;0,YEAR(tb_rechnungen[[#This Row],[Re-Datum]]),"")</f>
        <v/>
      </c>
      <c r="Q44" s="19">
        <f>IF(tb_rechnungen[[#This Row],[Brutto]]&lt;&gt;0,tb_rechnungen[[#This Row],[Brutto]]-tb_rechnungen[[#This Row],[Netto]],"")</f>
        <v/>
      </c>
      <c r="R44" s="37">
        <f>IF(tb_rechnungen[[#This Row],[Netto]]&lt;&gt;0,ROUND(tb_rechnungen[[#This Row],[Steuer]]/tb_rechnungen[[#This Row],[Netto]],2),"")</f>
        <v/>
      </c>
    </row>
    <row r="45" hidden="1">
      <c r="A45" s="26" t="n">
        <v>45691</v>
      </c>
      <c r="B45" s="27" t="inlineStr">
        <is>
          <t xml:space="preserve">Westcon </t>
        </is>
      </c>
      <c r="C45" s="28" t="inlineStr">
        <is>
          <t>1075553324</t>
        </is>
      </c>
      <c r="D45" s="28" t="inlineStr">
        <is>
          <t>E</t>
        </is>
      </c>
      <c r="E45" s="27" t="inlineStr">
        <is>
          <t>Trendmicro EMS 120 User, WFB</t>
        </is>
      </c>
      <c r="F45" s="29" t="n">
        <v>1697.28</v>
      </c>
      <c r="G45" s="29" t="n">
        <v>2019.76</v>
      </c>
      <c r="H45" s="30" t="inlineStr">
        <is>
          <t>X</t>
        </is>
      </c>
      <c r="I45" s="30" t="inlineStr">
        <is>
          <t>Z</t>
        </is>
      </c>
      <c r="J45" s="31" t="inlineStr">
        <is>
          <t>M</t>
        </is>
      </c>
      <c r="K45" s="50" t="n"/>
      <c r="L45" s="50" t="n"/>
      <c r="M45" s="49" t="n"/>
      <c r="N45" s="31" t="n"/>
      <c r="O45" s="12">
        <f>IF(tb_rechnungen[[#This Row],[Re-Datum]]&gt;0,MONTH(tb_rechnungen[[#This Row],[Re-Datum]]),"")</f>
        <v/>
      </c>
      <c r="P45" s="13">
        <f>IF(tb_rechnungen[[#This Row],[Re-Datum]]&gt;0,YEAR(tb_rechnungen[[#This Row],[Re-Datum]]),"")</f>
        <v/>
      </c>
      <c r="Q45" s="19">
        <f>IF(tb_rechnungen[[#This Row],[Brutto]]&lt;&gt;0,tb_rechnungen[[#This Row],[Brutto]]-tb_rechnungen[[#This Row],[Netto]],"")</f>
        <v/>
      </c>
      <c r="R45" s="37">
        <f>IF(tb_rechnungen[[#This Row],[Netto]]&lt;&gt;0,ROUND(tb_rechnungen[[#This Row],[Steuer]]/tb_rechnungen[[#This Row],[Netto]],2),"")</f>
        <v/>
      </c>
    </row>
    <row r="46" hidden="1">
      <c r="A46" s="26" t="n">
        <v>45688</v>
      </c>
      <c r="B46" s="27" t="inlineStr">
        <is>
          <t xml:space="preserve">DTS </t>
        </is>
      </c>
      <c r="C46" s="28" t="inlineStr">
        <is>
          <t>25-13-053774</t>
        </is>
      </c>
      <c r="D46" s="28" t="inlineStr">
        <is>
          <t>K</t>
        </is>
      </c>
      <c r="E46" s="27" t="inlineStr">
        <is>
          <t>Centrexx3 Januar</t>
        </is>
      </c>
      <c r="F46" s="29" t="n">
        <v>3.67</v>
      </c>
      <c r="G46" s="29" t="n">
        <v>4.37</v>
      </c>
      <c r="H46" s="30" t="inlineStr">
        <is>
          <t>X</t>
        </is>
      </c>
      <c r="I46" s="30" t="inlineStr">
        <is>
          <t>A</t>
        </is>
      </c>
      <c r="J46" s="31" t="inlineStr">
        <is>
          <t>M</t>
        </is>
      </c>
      <c r="K46" s="50" t="n"/>
      <c r="L46" s="50" t="n"/>
      <c r="M46" s="49" t="n"/>
      <c r="N46" s="31" t="n"/>
      <c r="O46" s="12">
        <f>IF(tb_rechnungen[[#This Row],[Re-Datum]]&gt;0,MONTH(tb_rechnungen[[#This Row],[Re-Datum]]),"")</f>
        <v/>
      </c>
      <c r="P46" s="13">
        <f>IF(tb_rechnungen[[#This Row],[Re-Datum]]&gt;0,YEAR(tb_rechnungen[[#This Row],[Re-Datum]]),"")</f>
        <v/>
      </c>
      <c r="Q46" s="19">
        <f>IF(tb_rechnungen[[#This Row],[Brutto]]&lt;&gt;0,tb_rechnungen[[#This Row],[Brutto]]-tb_rechnungen[[#This Row],[Netto]],"")</f>
        <v/>
      </c>
      <c r="R46" s="37">
        <f>IF(tb_rechnungen[[#This Row],[Netto]]&lt;&gt;0,ROUND(tb_rechnungen[[#This Row],[Steuer]]/tb_rechnungen[[#This Row],[Netto]],2),"")</f>
        <v/>
      </c>
    </row>
    <row r="47" hidden="1">
      <c r="A47" s="26" t="n">
        <v>45689</v>
      </c>
      <c r="B47" s="27" t="inlineStr">
        <is>
          <t>VW Leasing</t>
        </is>
      </c>
      <c r="C47" s="28" t="inlineStr">
        <is>
          <t xml:space="preserve">10237455855 </t>
        </is>
      </c>
      <c r="D47" s="28" t="inlineStr">
        <is>
          <t>K</t>
        </is>
      </c>
      <c r="E47" s="27" t="inlineStr">
        <is>
          <t>Rate 02/2025</t>
        </is>
      </c>
      <c r="F47" s="29" t="n">
        <v>37.43</v>
      </c>
      <c r="G47" s="29" t="n">
        <v>44.54</v>
      </c>
      <c r="H47" s="30" t="inlineStr">
        <is>
          <t>X</t>
        </is>
      </c>
      <c r="I47" s="30" t="inlineStr">
        <is>
          <t>A</t>
        </is>
      </c>
      <c r="J47" s="31" t="inlineStr">
        <is>
          <t>M</t>
        </is>
      </c>
      <c r="K47" s="50" t="n"/>
      <c r="L47" s="50" t="n"/>
      <c r="M47" s="49" t="n"/>
      <c r="N47" s="31" t="n"/>
      <c r="O47" s="12">
        <f>IF(tb_rechnungen[[#This Row],[Re-Datum]]&gt;0,MONTH(tb_rechnungen[[#This Row],[Re-Datum]]),"")</f>
        <v/>
      </c>
      <c r="P47" s="13">
        <f>IF(tb_rechnungen[[#This Row],[Re-Datum]]&gt;0,YEAR(tb_rechnungen[[#This Row],[Re-Datum]]),"")</f>
        <v/>
      </c>
      <c r="Q47" s="19">
        <f>IF(tb_rechnungen[[#This Row],[Brutto]]&lt;&gt;0,tb_rechnungen[[#This Row],[Brutto]]-tb_rechnungen[[#This Row],[Netto]],"")</f>
        <v/>
      </c>
      <c r="R47" s="37">
        <f>IF(tb_rechnungen[[#This Row],[Netto]]&lt;&gt;0,ROUND(tb_rechnungen[[#This Row],[Steuer]]/tb_rechnungen[[#This Row],[Netto]],2),"")</f>
        <v/>
      </c>
    </row>
    <row r="48" hidden="1">
      <c r="A48" s="26" t="n">
        <v>45688</v>
      </c>
      <c r="B48" s="27" t="inlineStr">
        <is>
          <t xml:space="preserve">DTS </t>
        </is>
      </c>
      <c r="C48" s="28" t="inlineStr">
        <is>
          <t>11503482</t>
        </is>
      </c>
      <c r="D48" s="28" t="inlineStr">
        <is>
          <t>K</t>
        </is>
      </c>
      <c r="E48" s="27" t="inlineStr">
        <is>
          <t>Centrexx2 Januar</t>
        </is>
      </c>
      <c r="F48" s="29" t="n">
        <v>40.06</v>
      </c>
      <c r="G48" s="29" t="n">
        <v>47.67</v>
      </c>
      <c r="H48" s="30" t="inlineStr">
        <is>
          <t>X</t>
        </is>
      </c>
      <c r="I48" s="30" t="inlineStr">
        <is>
          <t>A</t>
        </is>
      </c>
      <c r="J48" s="31" t="inlineStr">
        <is>
          <t>M</t>
        </is>
      </c>
      <c r="K48" s="50" t="n"/>
      <c r="L48" s="50" t="n"/>
      <c r="M48" s="49" t="n"/>
      <c r="N48" s="31" t="n"/>
      <c r="O48" s="12">
        <f>IF(tb_rechnungen[[#This Row],[Re-Datum]]&gt;0,MONTH(tb_rechnungen[[#This Row],[Re-Datum]]),"")</f>
        <v/>
      </c>
      <c r="P48" s="13">
        <f>IF(tb_rechnungen[[#This Row],[Re-Datum]]&gt;0,YEAR(tb_rechnungen[[#This Row],[Re-Datum]]),"")</f>
        <v/>
      </c>
      <c r="Q48" s="19">
        <f>IF(tb_rechnungen[[#This Row],[Brutto]]&lt;&gt;0,tb_rechnungen[[#This Row],[Brutto]]-tb_rechnungen[[#This Row],[Netto]],"")</f>
        <v/>
      </c>
      <c r="R48" s="37">
        <f>IF(tb_rechnungen[[#This Row],[Netto]]&lt;&gt;0,ROUND(tb_rechnungen[[#This Row],[Steuer]]/tb_rechnungen[[#This Row],[Netto]],2),"")</f>
        <v/>
      </c>
    </row>
    <row r="49" hidden="1">
      <c r="A49" s="26" t="n">
        <v>45691</v>
      </c>
      <c r="B49" s="27" t="inlineStr">
        <is>
          <t>Haus&amp;Grund</t>
        </is>
      </c>
      <c r="C49" s="28" t="inlineStr">
        <is>
          <t>Miete 02/2025</t>
        </is>
      </c>
      <c r="D49" s="28" t="inlineStr">
        <is>
          <t>K</t>
        </is>
      </c>
      <c r="E49" s="27" t="inlineStr">
        <is>
          <t>Miete</t>
        </is>
      </c>
      <c r="F49" s="29" t="n">
        <v>225</v>
      </c>
      <c r="G49" s="29" t="n">
        <v>225</v>
      </c>
      <c r="H49" s="30" t="inlineStr">
        <is>
          <t>X</t>
        </is>
      </c>
      <c r="I49" s="30" t="inlineStr">
        <is>
          <t>D</t>
        </is>
      </c>
      <c r="J49" s="30" t="inlineStr">
        <is>
          <t>M</t>
        </is>
      </c>
      <c r="K49" s="50" t="n"/>
      <c r="L49" s="50" t="n"/>
      <c r="M49" s="49" t="n"/>
      <c r="N49" s="31" t="n"/>
      <c r="O49" s="12">
        <f>IF(tb_rechnungen[[#This Row],[Re-Datum]]&gt;0,MONTH(tb_rechnungen[[#This Row],[Re-Datum]]),"")</f>
        <v/>
      </c>
      <c r="P49" s="13">
        <f>IF(tb_rechnungen[[#This Row],[Re-Datum]]&gt;0,YEAR(tb_rechnungen[[#This Row],[Re-Datum]]),"")</f>
        <v/>
      </c>
      <c r="Q49" s="19">
        <f>IF(tb_rechnungen[[#This Row],[Brutto]]&lt;&gt;0,tb_rechnungen[[#This Row],[Brutto]]-tb_rechnungen[[#This Row],[Netto]],"")</f>
        <v/>
      </c>
      <c r="R49" s="37">
        <f>IF(tb_rechnungen[[#This Row],[Netto]]&lt;&gt;0,ROUND(tb_rechnungen[[#This Row],[Steuer]]/tb_rechnungen[[#This Row],[Netto]],2),"")</f>
        <v/>
      </c>
    </row>
    <row r="50" hidden="1">
      <c r="A50" s="26" t="n">
        <v>45692</v>
      </c>
      <c r="B50" s="27" t="inlineStr">
        <is>
          <t>Infinigate</t>
        </is>
      </c>
      <c r="C50" s="28" t="inlineStr">
        <is>
          <t>PSI-23263795</t>
        </is>
      </c>
      <c r="D50" s="28" t="inlineStr">
        <is>
          <t>E</t>
        </is>
      </c>
      <c r="E50" s="27" t="inlineStr">
        <is>
          <t>Trellix 37 User FED</t>
        </is>
      </c>
      <c r="F50" s="29" t="n">
        <v>2444.96</v>
      </c>
      <c r="G50" s="29" t="n">
        <v>2909.5</v>
      </c>
      <c r="H50" s="30" t="inlineStr">
        <is>
          <t>X</t>
        </is>
      </c>
      <c r="I50" s="30" t="inlineStr">
        <is>
          <t>Z</t>
        </is>
      </c>
      <c r="J50" s="31" t="inlineStr">
        <is>
          <t>M</t>
        </is>
      </c>
      <c r="K50" s="50" t="n"/>
      <c r="L50" s="50" t="n"/>
      <c r="M50" s="49" t="n"/>
      <c r="N50" s="31" t="n"/>
      <c r="O50" s="12">
        <f>IF(tb_rechnungen[[#This Row],[Re-Datum]]&gt;0,MONTH(tb_rechnungen[[#This Row],[Re-Datum]]),"")</f>
        <v/>
      </c>
      <c r="P50" s="13">
        <f>IF(tb_rechnungen[[#This Row],[Re-Datum]]&gt;0,YEAR(tb_rechnungen[[#This Row],[Re-Datum]]),"")</f>
        <v/>
      </c>
      <c r="Q50" s="19">
        <f>IF(tb_rechnungen[[#This Row],[Brutto]]&lt;&gt;0,tb_rechnungen[[#This Row],[Brutto]]-tb_rechnungen[[#This Row],[Netto]],"")</f>
        <v/>
      </c>
      <c r="R50" s="37">
        <f>IF(tb_rechnungen[[#This Row],[Netto]]&lt;&gt;0,ROUND(tb_rechnungen[[#This Row],[Steuer]]/tb_rechnungen[[#This Row],[Netto]],2),"")</f>
        <v/>
      </c>
    </row>
    <row r="51" hidden="1">
      <c r="A51" s="26" t="n">
        <v>45688</v>
      </c>
      <c r="B51" s="27" t="inlineStr">
        <is>
          <t>DKV</t>
        </is>
      </c>
      <c r="C51" s="28" t="inlineStr">
        <is>
          <t>25-641570508-001</t>
        </is>
      </c>
      <c r="D51" s="28" t="inlineStr">
        <is>
          <t>K</t>
        </is>
      </c>
      <c r="E51" s="27" t="inlineStr">
        <is>
          <t>Abrechnung</t>
        </is>
      </c>
      <c r="F51" s="29" t="n">
        <v>109.37</v>
      </c>
      <c r="G51" s="29" t="n">
        <v>130.15</v>
      </c>
      <c r="H51" s="30" t="inlineStr">
        <is>
          <t>X</t>
        </is>
      </c>
      <c r="I51" s="30" t="inlineStr">
        <is>
          <t>A</t>
        </is>
      </c>
      <c r="J51" s="31" t="inlineStr">
        <is>
          <t>M</t>
        </is>
      </c>
      <c r="K51" s="50" t="n"/>
      <c r="L51" s="50" t="n"/>
      <c r="M51" s="49" t="n"/>
      <c r="N51" s="31" t="n"/>
      <c r="O51" s="12">
        <f>IF(tb_rechnungen[[#This Row],[Re-Datum]]&gt;0,MONTH(tb_rechnungen[[#This Row],[Re-Datum]]),"")</f>
        <v/>
      </c>
      <c r="P51" s="13">
        <f>IF(tb_rechnungen[[#This Row],[Re-Datum]]&gt;0,YEAR(tb_rechnungen[[#This Row],[Re-Datum]]),"")</f>
        <v/>
      </c>
      <c r="Q51" s="19">
        <f>IF(tb_rechnungen[[#This Row],[Brutto]]&lt;&gt;0,tb_rechnungen[[#This Row],[Brutto]]-tb_rechnungen[[#This Row],[Netto]],"")</f>
        <v/>
      </c>
      <c r="R51" s="37">
        <f>IF(tb_rechnungen[[#This Row],[Netto]]&lt;&gt;0,ROUND(tb_rechnungen[[#This Row],[Steuer]]/tb_rechnungen[[#This Row],[Netto]],2),"")</f>
        <v/>
      </c>
    </row>
    <row r="52" hidden="1">
      <c r="A52" s="26" t="n">
        <v>45697</v>
      </c>
      <c r="B52" s="27" t="inlineStr">
        <is>
          <t>Video4Net</t>
        </is>
      </c>
      <c r="C52" s="28" t="inlineStr">
        <is>
          <t>RG1010</t>
        </is>
      </c>
      <c r="D52" s="28" t="inlineStr">
        <is>
          <t>K</t>
        </is>
      </c>
      <c r="E52" s="54" t="inlineStr">
        <is>
          <t>Buchhaltung Dezember 2024</t>
        </is>
      </c>
      <c r="F52" s="29" t="n">
        <v>120</v>
      </c>
      <c r="G52" s="29" t="n">
        <v>142.8</v>
      </c>
      <c r="H52" s="30" t="inlineStr">
        <is>
          <t>X</t>
        </is>
      </c>
      <c r="I52" s="30" t="inlineStr">
        <is>
          <t>Z</t>
        </is>
      </c>
      <c r="J52" s="31" t="inlineStr">
        <is>
          <t>M</t>
        </is>
      </c>
      <c r="K52" s="50" t="n"/>
      <c r="L52" s="50" t="n"/>
      <c r="M52" s="49" t="n"/>
      <c r="N52" s="31" t="n"/>
      <c r="O52" s="12">
        <f>IF(tb_rechnungen[[#This Row],[Re-Datum]]&gt;0,MONTH(tb_rechnungen[[#This Row],[Re-Datum]]),"")</f>
        <v/>
      </c>
      <c r="P52" s="13">
        <f>IF(tb_rechnungen[[#This Row],[Re-Datum]]&gt;0,YEAR(tb_rechnungen[[#This Row],[Re-Datum]]),"")</f>
        <v/>
      </c>
      <c r="Q52" s="19">
        <f>IF(tb_rechnungen[[#This Row],[Brutto]]&lt;&gt;0,tb_rechnungen[[#This Row],[Brutto]]-tb_rechnungen[[#This Row],[Netto]],"")</f>
        <v/>
      </c>
      <c r="R52" s="37">
        <f>IF(tb_rechnungen[[#This Row],[Netto]]&lt;&gt;0,ROUND(tb_rechnungen[[#This Row],[Steuer]]/tb_rechnungen[[#This Row],[Netto]],2),"")</f>
        <v/>
      </c>
    </row>
    <row r="53" hidden="1">
      <c r="A53" s="26" t="n">
        <v>45695</v>
      </c>
      <c r="B53" s="27" t="inlineStr">
        <is>
          <t xml:space="preserve">Westcon </t>
        </is>
      </c>
      <c r="C53" s="28" t="inlineStr">
        <is>
          <t>1075553947</t>
        </is>
      </c>
      <c r="D53" s="28" t="inlineStr">
        <is>
          <t>E</t>
        </is>
      </c>
      <c r="E53" s="27" t="inlineStr">
        <is>
          <t>Trendmicro EMS 120 User, DHN</t>
        </is>
      </c>
      <c r="F53" s="29" t="n">
        <v>1697.28</v>
      </c>
      <c r="G53" s="29" t="n">
        <v>2019.76</v>
      </c>
      <c r="H53" s="30" t="inlineStr">
        <is>
          <t>X</t>
        </is>
      </c>
      <c r="I53" s="30" t="inlineStr">
        <is>
          <t>Z</t>
        </is>
      </c>
      <c r="J53" s="31" t="inlineStr">
        <is>
          <t>M</t>
        </is>
      </c>
      <c r="K53" s="50" t="n"/>
      <c r="L53" s="50" t="n"/>
      <c r="M53" s="49" t="n"/>
      <c r="N53" s="31" t="n"/>
      <c r="O53" s="12">
        <f>IF(tb_rechnungen[[#This Row],[Re-Datum]]&gt;0,MONTH(tb_rechnungen[[#This Row],[Re-Datum]]),"")</f>
        <v/>
      </c>
      <c r="P53" s="13">
        <f>IF(tb_rechnungen[[#This Row],[Re-Datum]]&gt;0,YEAR(tb_rechnungen[[#This Row],[Re-Datum]]),"")</f>
        <v/>
      </c>
      <c r="Q53" s="19">
        <f>IF(tb_rechnungen[[#This Row],[Brutto]]&lt;&gt;0,tb_rechnungen[[#This Row],[Brutto]]-tb_rechnungen[[#This Row],[Netto]],"")</f>
        <v/>
      </c>
      <c r="R53" s="37">
        <f>IF(tb_rechnungen[[#This Row],[Netto]]&lt;&gt;0,ROUND(tb_rechnungen[[#This Row],[Steuer]]/tb_rechnungen[[#This Row],[Netto]],2),"")</f>
        <v/>
      </c>
    </row>
    <row r="54" hidden="1">
      <c r="A54" s="26" t="n">
        <v>45695</v>
      </c>
      <c r="B54" s="27" t="inlineStr">
        <is>
          <t xml:space="preserve">Westcon </t>
        </is>
      </c>
      <c r="C54" s="28" t="inlineStr">
        <is>
          <t>1075553948</t>
        </is>
      </c>
      <c r="D54" s="28" t="inlineStr">
        <is>
          <t>E</t>
        </is>
      </c>
      <c r="E54" s="27" t="inlineStr">
        <is>
          <t>Trendmicro EMS 25 User, FED</t>
        </is>
      </c>
      <c r="F54" s="52" t="n">
        <v>681.7</v>
      </c>
      <c r="G54" s="29" t="n">
        <v>811.22</v>
      </c>
      <c r="H54" s="30" t="inlineStr">
        <is>
          <t>X</t>
        </is>
      </c>
      <c r="I54" s="30" t="inlineStr">
        <is>
          <t>Z</t>
        </is>
      </c>
      <c r="J54" s="31" t="inlineStr">
        <is>
          <t>M</t>
        </is>
      </c>
      <c r="K54" s="50" t="n"/>
      <c r="L54" s="50" t="n"/>
      <c r="M54" s="49" t="n"/>
      <c r="N54" s="31" t="n"/>
      <c r="O54" s="12">
        <f>IF(tb_rechnungen[[#This Row],[Re-Datum]]&gt;0,MONTH(tb_rechnungen[[#This Row],[Re-Datum]]),"")</f>
        <v/>
      </c>
      <c r="P54" s="13">
        <f>IF(tb_rechnungen[[#This Row],[Re-Datum]]&gt;0,YEAR(tb_rechnungen[[#This Row],[Re-Datum]]),"")</f>
        <v/>
      </c>
      <c r="Q54" s="19">
        <f>IF(tb_rechnungen[[#This Row],[Brutto]]&lt;&gt;0,tb_rechnungen[[#This Row],[Brutto]]-tb_rechnungen[[#This Row],[Netto]],"")</f>
        <v/>
      </c>
      <c r="R54" s="37">
        <f>IF(tb_rechnungen[[#This Row],[Netto]]&lt;&gt;0,ROUND(tb_rechnungen[[#This Row],[Steuer]]/tb_rechnungen[[#This Row],[Netto]],2),"")</f>
        <v/>
      </c>
    </row>
    <row r="55" hidden="1">
      <c r="A55" s="26" t="n">
        <v>45695</v>
      </c>
      <c r="B55" s="27" t="inlineStr">
        <is>
          <t xml:space="preserve">Westcon </t>
        </is>
      </c>
      <c r="C55" s="28" t="inlineStr">
        <is>
          <t>1075553949</t>
        </is>
      </c>
      <c r="D55" s="28" t="inlineStr">
        <is>
          <t>E</t>
        </is>
      </c>
      <c r="E55" s="27" t="inlineStr">
        <is>
          <t>Trendmicro EMS 10 User, GZI</t>
        </is>
      </c>
      <c r="F55" s="52" t="n">
        <v>208.28</v>
      </c>
      <c r="G55" s="29" t="n">
        <v>247.85</v>
      </c>
      <c r="H55" s="30" t="inlineStr">
        <is>
          <t>X</t>
        </is>
      </c>
      <c r="I55" s="30" t="inlineStr">
        <is>
          <t>Z</t>
        </is>
      </c>
      <c r="J55" s="31" t="inlineStr">
        <is>
          <t>M</t>
        </is>
      </c>
      <c r="K55" s="50" t="n"/>
      <c r="L55" s="50" t="n"/>
      <c r="M55" s="49" t="n"/>
      <c r="N55" s="31" t="n"/>
      <c r="O55" s="12">
        <f>IF(tb_rechnungen[[#This Row],[Re-Datum]]&gt;0,MONTH(tb_rechnungen[[#This Row],[Re-Datum]]),"")</f>
        <v/>
      </c>
      <c r="P55" s="13">
        <f>IF(tb_rechnungen[[#This Row],[Re-Datum]]&gt;0,YEAR(tb_rechnungen[[#This Row],[Re-Datum]]),"")</f>
        <v/>
      </c>
      <c r="Q55" s="19">
        <f>IF(tb_rechnungen[[#This Row],[Brutto]]&lt;&gt;0,tb_rechnungen[[#This Row],[Brutto]]-tb_rechnungen[[#This Row],[Netto]],"")</f>
        <v/>
      </c>
      <c r="R55" s="37">
        <f>IF(tb_rechnungen[[#This Row],[Netto]]&lt;&gt;0,ROUND(tb_rechnungen[[#This Row],[Steuer]]/tb_rechnungen[[#This Row],[Netto]],2),"")</f>
        <v/>
      </c>
    </row>
    <row r="56" hidden="1">
      <c r="A56" s="26" t="n">
        <v>45695</v>
      </c>
      <c r="B56" s="27" t="inlineStr">
        <is>
          <t xml:space="preserve">IHK </t>
        </is>
      </c>
      <c r="C56" s="28" t="inlineStr">
        <is>
          <t>3036315600259</t>
        </is>
      </c>
      <c r="D56" s="28" t="inlineStr">
        <is>
          <t>K</t>
        </is>
      </c>
      <c r="E56" s="27" t="inlineStr">
        <is>
          <t>Bescheid 2025</t>
        </is>
      </c>
      <c r="F56" s="29" t="n">
        <v>161.04</v>
      </c>
      <c r="G56" s="29" t="n">
        <v>161.04</v>
      </c>
      <c r="H56" s="30" t="inlineStr">
        <is>
          <t>X</t>
        </is>
      </c>
      <c r="I56" s="30" t="inlineStr">
        <is>
          <t>Z</t>
        </is>
      </c>
      <c r="J56" s="31" t="inlineStr">
        <is>
          <t>M</t>
        </is>
      </c>
      <c r="K56" s="50" t="n"/>
      <c r="L56" s="50" t="n"/>
      <c r="M56" s="49" t="n"/>
      <c r="N56" s="31" t="n"/>
      <c r="O56" s="12">
        <f>IF(tb_rechnungen[[#This Row],[Re-Datum]]&gt;0,MONTH(tb_rechnungen[[#This Row],[Re-Datum]]),"")</f>
        <v/>
      </c>
      <c r="P56" s="13">
        <f>IF(tb_rechnungen[[#This Row],[Re-Datum]]&gt;0,YEAR(tb_rechnungen[[#This Row],[Re-Datum]]),"")</f>
        <v/>
      </c>
      <c r="Q56" s="19">
        <f>IF(tb_rechnungen[[#This Row],[Brutto]]&lt;&gt;0,tb_rechnungen[[#This Row],[Brutto]]-tb_rechnungen[[#This Row],[Netto]],"")</f>
        <v/>
      </c>
      <c r="R56" s="37">
        <f>IF(tb_rechnungen[[#This Row],[Netto]]&lt;&gt;0,ROUND(tb_rechnungen[[#This Row],[Steuer]]/tb_rechnungen[[#This Row],[Netto]],2),"")</f>
        <v/>
      </c>
    </row>
    <row r="57" hidden="1">
      <c r="A57" s="26" t="n">
        <v>45696</v>
      </c>
      <c r="B57" s="27" t="inlineStr">
        <is>
          <t>Wortmann</t>
        </is>
      </c>
      <c r="C57" s="28" t="inlineStr">
        <is>
          <t>DR8458789</t>
        </is>
      </c>
      <c r="D57" s="28" t="inlineStr">
        <is>
          <t>E</t>
        </is>
      </c>
      <c r="E57" s="27" t="inlineStr">
        <is>
          <t>TERRA CLOUD Backup</t>
        </is>
      </c>
      <c r="F57" s="29" t="n">
        <v>9.9</v>
      </c>
      <c r="G57" s="29" t="n">
        <v>11.78</v>
      </c>
      <c r="H57" s="30" t="inlineStr">
        <is>
          <t>X</t>
        </is>
      </c>
      <c r="I57" s="30" t="inlineStr">
        <is>
          <t>Z</t>
        </is>
      </c>
      <c r="J57" s="31" t="inlineStr">
        <is>
          <t>M</t>
        </is>
      </c>
      <c r="K57" s="50" t="n"/>
      <c r="L57" s="50" t="n"/>
      <c r="M57" s="49" t="n"/>
      <c r="N57" s="31" t="n"/>
      <c r="O57" s="12">
        <f>IF(tb_rechnungen[[#This Row],[Re-Datum]]&gt;0,MONTH(tb_rechnungen[[#This Row],[Re-Datum]]),"")</f>
        <v/>
      </c>
      <c r="P57" s="13">
        <f>IF(tb_rechnungen[[#This Row],[Re-Datum]]&gt;0,YEAR(tb_rechnungen[[#This Row],[Re-Datum]]),"")</f>
        <v/>
      </c>
      <c r="Q57" s="19">
        <f>IF(tb_rechnungen[[#This Row],[Brutto]]&lt;&gt;0,tb_rechnungen[[#This Row],[Brutto]]-tb_rechnungen[[#This Row],[Netto]],"")</f>
        <v/>
      </c>
      <c r="R57" s="37">
        <f>IF(tb_rechnungen[[#This Row],[Netto]]&lt;&gt;0,ROUND(tb_rechnungen[[#This Row],[Steuer]]/tb_rechnungen[[#This Row],[Netto]],2),"")</f>
        <v/>
      </c>
    </row>
    <row r="58" hidden="1">
      <c r="A58" s="26" t="n">
        <v>45698</v>
      </c>
      <c r="B58" s="27" t="inlineStr">
        <is>
          <t>Hetzner</t>
        </is>
      </c>
      <c r="C58" s="28" t="inlineStr">
        <is>
          <t>084000154482</t>
        </is>
      </c>
      <c r="D58" s="28" t="inlineStr">
        <is>
          <t>E</t>
        </is>
      </c>
      <c r="E58" s="27" t="inlineStr">
        <is>
          <t>Storage</t>
        </is>
      </c>
      <c r="F58" s="29" t="n">
        <v>6.38</v>
      </c>
      <c r="G58" s="29" t="n">
        <v>7.6</v>
      </c>
      <c r="H58" s="30" t="inlineStr">
        <is>
          <t>X</t>
        </is>
      </c>
      <c r="I58" s="30" t="inlineStr">
        <is>
          <t>A</t>
        </is>
      </c>
      <c r="J58" s="31" t="inlineStr">
        <is>
          <t>M</t>
        </is>
      </c>
      <c r="K58" s="50" t="n"/>
      <c r="L58" s="50" t="n"/>
      <c r="M58" s="49" t="n"/>
      <c r="N58" s="31" t="n"/>
      <c r="O58" s="12">
        <f>IF(tb_rechnungen[[#This Row],[Re-Datum]]&gt;0,MONTH(tb_rechnungen[[#This Row],[Re-Datum]]),"")</f>
        <v/>
      </c>
      <c r="P58" s="13">
        <f>IF(tb_rechnungen[[#This Row],[Re-Datum]]&gt;0,YEAR(tb_rechnungen[[#This Row],[Re-Datum]]),"")</f>
        <v/>
      </c>
      <c r="Q58" s="19">
        <f>IF(tb_rechnungen[[#This Row],[Brutto]]&lt;&gt;0,tb_rechnungen[[#This Row],[Brutto]]-tb_rechnungen[[#This Row],[Netto]],"")</f>
        <v/>
      </c>
      <c r="R58" s="37">
        <f>IF(tb_rechnungen[[#This Row],[Netto]]&lt;&gt;0,ROUND(tb_rechnungen[[#This Row],[Steuer]]/tb_rechnungen[[#This Row],[Netto]],2),"")</f>
        <v/>
      </c>
    </row>
    <row r="59" hidden="1">
      <c r="A59" s="26" t="n">
        <v>45698</v>
      </c>
      <c r="B59" s="27" t="inlineStr">
        <is>
          <t>Ratiokontakt</t>
        </is>
      </c>
      <c r="C59" s="28" t="inlineStr">
        <is>
          <t>R10868279</t>
        </is>
      </c>
      <c r="D59" s="28" t="inlineStr">
        <is>
          <t>E</t>
        </is>
      </c>
      <c r="E59" s="27" t="inlineStr">
        <is>
          <t>ResellerWeb</t>
        </is>
      </c>
      <c r="F59" s="29" t="n">
        <v>29.9</v>
      </c>
      <c r="G59" s="29" t="n">
        <v>35.58</v>
      </c>
      <c r="H59" s="30" t="inlineStr">
        <is>
          <t>X</t>
        </is>
      </c>
      <c r="I59" s="30" t="inlineStr">
        <is>
          <t>Z</t>
        </is>
      </c>
      <c r="J59" s="31" t="inlineStr">
        <is>
          <t>M</t>
        </is>
      </c>
      <c r="K59" s="50" t="n"/>
      <c r="L59" s="50" t="n"/>
      <c r="M59" s="49" t="n"/>
      <c r="N59" s="31" t="n"/>
      <c r="O59" s="12">
        <f>IF(tb_rechnungen[[#This Row],[Re-Datum]]&gt;0,MONTH(tb_rechnungen[[#This Row],[Re-Datum]]),"")</f>
        <v/>
      </c>
      <c r="P59" s="13">
        <f>IF(tb_rechnungen[[#This Row],[Re-Datum]]&gt;0,YEAR(tb_rechnungen[[#This Row],[Re-Datum]]),"")</f>
        <v/>
      </c>
      <c r="Q59" s="19">
        <f>IF(tb_rechnungen[[#This Row],[Brutto]]&lt;&gt;0,tb_rechnungen[[#This Row],[Brutto]]-tb_rechnungen[[#This Row],[Netto]],"")</f>
        <v/>
      </c>
      <c r="R59" s="37">
        <f>IF(tb_rechnungen[[#This Row],[Netto]]&lt;&gt;0,ROUND(tb_rechnungen[[#This Row],[Steuer]]/tb_rechnungen[[#This Row],[Netto]],2),"")</f>
        <v/>
      </c>
    </row>
    <row r="60" hidden="1">
      <c r="A60" s="26" t="n">
        <v>45700</v>
      </c>
      <c r="B60" s="27" t="inlineStr">
        <is>
          <t>Api</t>
        </is>
      </c>
      <c r="C60" s="28" t="inlineStr">
        <is>
          <t>13664028</t>
        </is>
      </c>
      <c r="D60" s="28" t="inlineStr">
        <is>
          <t>E</t>
        </is>
      </c>
      <c r="E60" s="27" t="inlineStr">
        <is>
          <t>Logitech, Netgear Switch</t>
        </is>
      </c>
      <c r="F60" s="29" t="n">
        <v>126.64</v>
      </c>
      <c r="G60" s="29" t="n">
        <v>150.7</v>
      </c>
      <c r="H60" s="30" t="inlineStr">
        <is>
          <t>X</t>
        </is>
      </c>
      <c r="I60" s="30" t="inlineStr">
        <is>
          <t>Z</t>
        </is>
      </c>
      <c r="J60" s="31" t="inlineStr">
        <is>
          <t>M</t>
        </is>
      </c>
      <c r="K60" s="50" t="n"/>
      <c r="L60" s="50" t="n"/>
      <c r="M60" s="49" t="n"/>
      <c r="N60" s="31" t="n"/>
      <c r="O60" s="12">
        <f>IF(tb_rechnungen[[#This Row],[Re-Datum]]&gt;0,MONTH(tb_rechnungen[[#This Row],[Re-Datum]]),"")</f>
        <v/>
      </c>
      <c r="P60" s="13">
        <f>IF(tb_rechnungen[[#This Row],[Re-Datum]]&gt;0,YEAR(tb_rechnungen[[#This Row],[Re-Datum]]),"")</f>
        <v/>
      </c>
      <c r="Q60" s="19">
        <f>IF(tb_rechnungen[[#This Row],[Brutto]]&lt;&gt;0,tb_rechnungen[[#This Row],[Brutto]]-tb_rechnungen[[#This Row],[Netto]],"")</f>
        <v/>
      </c>
      <c r="R60" s="37">
        <f>IF(tb_rechnungen[[#This Row],[Netto]]&lt;&gt;0,ROUND(tb_rechnungen[[#This Row],[Steuer]]/tb_rechnungen[[#This Row],[Netto]],2),"")</f>
        <v/>
      </c>
    </row>
    <row r="61" hidden="1">
      <c r="A61" s="26" t="n">
        <v>45700</v>
      </c>
      <c r="B61" s="27" t="inlineStr">
        <is>
          <t>Telekom</t>
        </is>
      </c>
      <c r="C61" s="28" t="inlineStr">
        <is>
          <t>34 2586 4200 0551</t>
        </is>
      </c>
      <c r="D61" s="28" t="inlineStr">
        <is>
          <t>K</t>
        </is>
      </c>
      <c r="E61" s="27" t="inlineStr">
        <is>
          <t>Mobilfunk-Rechnung Sz</t>
        </is>
      </c>
      <c r="F61" s="29" t="n">
        <v>12.89</v>
      </c>
      <c r="G61" s="29" t="n">
        <v>15.34</v>
      </c>
      <c r="H61" s="30" t="inlineStr">
        <is>
          <t>X</t>
        </is>
      </c>
      <c r="I61" s="30" t="inlineStr">
        <is>
          <t>A</t>
        </is>
      </c>
      <c r="J61" s="31" t="inlineStr">
        <is>
          <t>M</t>
        </is>
      </c>
      <c r="K61" s="50" t="n"/>
      <c r="L61" s="50" t="n"/>
      <c r="M61" s="49" t="n"/>
      <c r="N61" s="31" t="n"/>
      <c r="O61" s="12">
        <f>IF(tb_rechnungen[[#This Row],[Re-Datum]]&gt;0,MONTH(tb_rechnungen[[#This Row],[Re-Datum]]),"")</f>
        <v/>
      </c>
      <c r="P61" s="13">
        <f>IF(tb_rechnungen[[#This Row],[Re-Datum]]&gt;0,YEAR(tb_rechnungen[[#This Row],[Re-Datum]]),"")</f>
        <v/>
      </c>
      <c r="Q61" s="19">
        <f>IF(tb_rechnungen[[#This Row],[Brutto]]&lt;&gt;0,tb_rechnungen[[#This Row],[Brutto]]-tb_rechnungen[[#This Row],[Netto]],"")</f>
        <v/>
      </c>
      <c r="R61" s="37">
        <f>IF(tb_rechnungen[[#This Row],[Netto]]&lt;&gt;0,ROUND(tb_rechnungen[[#This Row],[Steuer]]/tb_rechnungen[[#This Row],[Netto]],2),"")</f>
        <v/>
      </c>
    </row>
    <row r="62" hidden="1">
      <c r="A62" s="26" t="n">
        <v>45702</v>
      </c>
      <c r="B62" s="27" t="inlineStr">
        <is>
          <t>Telekom</t>
        </is>
      </c>
      <c r="C62" s="28" t="inlineStr">
        <is>
          <t>773 922 5863</t>
        </is>
      </c>
      <c r="D62" s="28" t="inlineStr">
        <is>
          <t>K</t>
        </is>
      </c>
      <c r="E62" s="27" t="inlineStr">
        <is>
          <t>Festnetz-Rechnung Schulze Februar</t>
        </is>
      </c>
      <c r="F62" s="29" t="n">
        <v>33.57</v>
      </c>
      <c r="G62" s="29" t="n">
        <v>39.95</v>
      </c>
      <c r="H62" s="30" t="inlineStr">
        <is>
          <t>X</t>
        </is>
      </c>
      <c r="I62" s="30" t="inlineStr">
        <is>
          <t>A</t>
        </is>
      </c>
      <c r="J62" s="31" t="inlineStr">
        <is>
          <t>M</t>
        </is>
      </c>
      <c r="K62" s="50" t="n"/>
      <c r="L62" s="50" t="n"/>
      <c r="M62" s="49" t="n"/>
      <c r="N62" s="31" t="n"/>
      <c r="O62" s="12">
        <f>IF(tb_rechnungen[[#This Row],[Re-Datum]]&gt;0,MONTH(tb_rechnungen[[#This Row],[Re-Datum]]),"")</f>
        <v/>
      </c>
      <c r="P62" s="13">
        <f>IF(tb_rechnungen[[#This Row],[Re-Datum]]&gt;0,YEAR(tb_rechnungen[[#This Row],[Re-Datum]]),"")</f>
        <v/>
      </c>
      <c r="Q62" s="19">
        <f>IF(tb_rechnungen[[#This Row],[Brutto]]&lt;&gt;0,tb_rechnungen[[#This Row],[Brutto]]-tb_rechnungen[[#This Row],[Netto]],"")</f>
        <v/>
      </c>
      <c r="R62" s="37">
        <f>IF(tb_rechnungen[[#This Row],[Netto]]&lt;&gt;0,ROUND(tb_rechnungen[[#This Row],[Steuer]]/tb_rechnungen[[#This Row],[Netto]],2),"")</f>
        <v/>
      </c>
    </row>
    <row r="63" hidden="1">
      <c r="A63" s="26" t="n">
        <v>45702</v>
      </c>
      <c r="B63" s="27" t="inlineStr">
        <is>
          <t>Blau</t>
        </is>
      </c>
      <c r="C63" s="28" t="inlineStr">
        <is>
          <t>RG 1192015783/08</t>
        </is>
      </c>
      <c r="D63" s="28" t="inlineStr">
        <is>
          <t>K</t>
        </is>
      </c>
      <c r="E63" s="27" t="inlineStr">
        <is>
          <t>Faszl Mobil Februar</t>
        </is>
      </c>
      <c r="F63" s="29" t="n">
        <v>6.71</v>
      </c>
      <c r="G63" s="29" t="n">
        <v>7.99</v>
      </c>
      <c r="H63" s="30" t="inlineStr">
        <is>
          <t>X</t>
        </is>
      </c>
      <c r="I63" s="30" t="inlineStr">
        <is>
          <t>A</t>
        </is>
      </c>
      <c r="J63" s="31" t="inlineStr">
        <is>
          <t>M</t>
        </is>
      </c>
      <c r="K63" s="50" t="n"/>
      <c r="L63" s="50" t="n"/>
      <c r="M63" s="49" t="n"/>
      <c r="N63" s="31" t="n"/>
      <c r="O63" s="12">
        <f>IF(tb_rechnungen[[#This Row],[Re-Datum]]&gt;0,MONTH(tb_rechnungen[[#This Row],[Re-Datum]]),"")</f>
        <v/>
      </c>
      <c r="P63" s="13">
        <f>IF(tb_rechnungen[[#This Row],[Re-Datum]]&gt;0,YEAR(tb_rechnungen[[#This Row],[Re-Datum]]),"")</f>
        <v/>
      </c>
      <c r="Q63" s="19">
        <f>IF(tb_rechnungen[[#This Row],[Brutto]]&lt;&gt;0,tb_rechnungen[[#This Row],[Brutto]]-tb_rechnungen[[#This Row],[Netto]],"")</f>
        <v/>
      </c>
      <c r="R63" s="37">
        <f>IF(tb_rechnungen[[#This Row],[Netto]]&lt;&gt;0,ROUND(tb_rechnungen[[#This Row],[Steuer]]/tb_rechnungen[[#This Row],[Netto]],2),"")</f>
        <v/>
      </c>
    </row>
    <row r="64" hidden="1">
      <c r="A64" s="26" t="n">
        <v>45703</v>
      </c>
      <c r="B64" s="27" t="inlineStr">
        <is>
          <t>wolkesicher</t>
        </is>
      </c>
      <c r="C64" s="28" t="inlineStr">
        <is>
          <t>378815</t>
        </is>
      </c>
      <c r="D64" s="28" t="inlineStr">
        <is>
          <t>K</t>
        </is>
      </c>
      <c r="E64" s="27" t="inlineStr">
        <is>
          <t>Premium Silber (C) - uhde.wolkesicher.de</t>
        </is>
      </c>
      <c r="F64" s="29" t="n">
        <v>4.19</v>
      </c>
      <c r="G64" s="29" t="n">
        <v>4.99</v>
      </c>
      <c r="H64" s="30" t="inlineStr">
        <is>
          <t>X</t>
        </is>
      </c>
      <c r="I64" s="30" t="inlineStr">
        <is>
          <t>A</t>
        </is>
      </c>
      <c r="J64" s="31" t="inlineStr">
        <is>
          <t>M</t>
        </is>
      </c>
      <c r="K64" s="50" t="n"/>
      <c r="L64" s="50" t="n"/>
      <c r="M64" s="49" t="n"/>
      <c r="N64" s="31" t="n"/>
      <c r="O64" s="12">
        <f>IF(tb_rechnungen[[#This Row],[Re-Datum]]&gt;0,MONTH(tb_rechnungen[[#This Row],[Re-Datum]]),"")</f>
        <v/>
      </c>
      <c r="P64" s="13">
        <f>IF(tb_rechnungen[[#This Row],[Re-Datum]]&gt;0,YEAR(tb_rechnungen[[#This Row],[Re-Datum]]),"")</f>
        <v/>
      </c>
      <c r="Q64" s="19">
        <f>IF(tb_rechnungen[[#This Row],[Brutto]]&lt;&gt;0,tb_rechnungen[[#This Row],[Brutto]]-tb_rechnungen[[#This Row],[Netto]],"")</f>
        <v/>
      </c>
      <c r="R64" s="37">
        <f>IF(tb_rechnungen[[#This Row],[Netto]]&lt;&gt;0,ROUND(tb_rechnungen[[#This Row],[Steuer]]/tb_rechnungen[[#This Row],[Netto]],2),"")</f>
        <v/>
      </c>
    </row>
    <row r="65" hidden="1">
      <c r="A65" s="26" t="n">
        <v>45702</v>
      </c>
      <c r="B65" s="27" t="inlineStr">
        <is>
          <t>Infinigate</t>
        </is>
      </c>
      <c r="C65" s="28" t="inlineStr">
        <is>
          <t>PSI-23269998</t>
        </is>
      </c>
      <c r="D65" s="28" t="inlineStr">
        <is>
          <t>E</t>
        </is>
      </c>
      <c r="E65" s="27" t="inlineStr">
        <is>
          <t>WatchGuard (GML)</t>
        </is>
      </c>
      <c r="F65" s="29" t="n">
        <v>250.02</v>
      </c>
      <c r="G65" s="29" t="n">
        <v>297.52</v>
      </c>
      <c r="H65" s="30" t="inlineStr">
        <is>
          <t>X</t>
        </is>
      </c>
      <c r="I65" s="30" t="inlineStr">
        <is>
          <t>Z</t>
        </is>
      </c>
      <c r="J65" s="31" t="inlineStr">
        <is>
          <t>M</t>
        </is>
      </c>
      <c r="K65" s="50" t="n"/>
      <c r="L65" s="50" t="n"/>
      <c r="M65" s="49" t="n"/>
      <c r="N65" s="31" t="n"/>
      <c r="O65" s="12">
        <f>IF(tb_rechnungen[[#This Row],[Re-Datum]]&gt;0,MONTH(tb_rechnungen[[#This Row],[Re-Datum]]),"")</f>
        <v/>
      </c>
      <c r="P65" s="13">
        <f>IF(tb_rechnungen[[#This Row],[Re-Datum]]&gt;0,YEAR(tb_rechnungen[[#This Row],[Re-Datum]]),"")</f>
        <v/>
      </c>
      <c r="Q65" s="19">
        <f>IF(tb_rechnungen[[#This Row],[Brutto]]&lt;&gt;0,tb_rechnungen[[#This Row],[Brutto]]-tb_rechnungen[[#This Row],[Netto]],"")</f>
        <v/>
      </c>
      <c r="R65" s="37">
        <f>IF(tb_rechnungen[[#This Row],[Netto]]&lt;&gt;0,ROUND(tb_rechnungen[[#This Row],[Steuer]]/tb_rechnungen[[#This Row],[Netto]],2),"")</f>
        <v/>
      </c>
    </row>
    <row r="66" hidden="1">
      <c r="A66" s="26" t="n">
        <v>45703</v>
      </c>
      <c r="B66" s="27" t="inlineStr">
        <is>
          <t>PSW</t>
        </is>
      </c>
      <c r="C66" s="28" t="inlineStr">
        <is>
          <t>RG12505388</t>
        </is>
      </c>
      <c r="D66" s="28" t="inlineStr">
        <is>
          <t>E</t>
        </is>
      </c>
      <c r="E66" s="27" t="inlineStr">
        <is>
          <t>Sectigo Lite (PositiveSSL) (GML)</t>
        </is>
      </c>
      <c r="F66" s="29" t="n">
        <v>13.61</v>
      </c>
      <c r="G66" s="29" t="n">
        <v>16.2</v>
      </c>
      <c r="H66" s="30" t="inlineStr">
        <is>
          <t>X</t>
        </is>
      </c>
      <c r="I66" s="30" t="inlineStr">
        <is>
          <t>A</t>
        </is>
      </c>
      <c r="J66" s="31" t="inlineStr">
        <is>
          <t>M</t>
        </is>
      </c>
      <c r="K66" s="50" t="n"/>
      <c r="L66" s="50" t="n"/>
      <c r="M66" s="49" t="n"/>
      <c r="N66" s="31" t="n"/>
      <c r="O66" s="12">
        <f>IF(tb_rechnungen[[#This Row],[Re-Datum]]&gt;0,MONTH(tb_rechnungen[[#This Row],[Re-Datum]]),"")</f>
        <v/>
      </c>
      <c r="P66" s="13">
        <f>IF(tb_rechnungen[[#This Row],[Re-Datum]]&gt;0,YEAR(tb_rechnungen[[#This Row],[Re-Datum]]),"")</f>
        <v/>
      </c>
      <c r="Q66" s="19">
        <f>IF(tb_rechnungen[[#This Row],[Brutto]]&lt;&gt;0,tb_rechnungen[[#This Row],[Brutto]]-tb_rechnungen[[#This Row],[Netto]],"")</f>
        <v/>
      </c>
      <c r="R66" s="37">
        <f>IF(tb_rechnungen[[#This Row],[Netto]]&lt;&gt;0,ROUND(tb_rechnungen[[#This Row],[Steuer]]/tb_rechnungen[[#This Row],[Netto]],2),"")</f>
        <v/>
      </c>
    </row>
    <row r="67" hidden="1">
      <c r="A67" s="26" t="n">
        <v>45705</v>
      </c>
      <c r="B67" s="27" t="inlineStr">
        <is>
          <t>GEZ</t>
        </is>
      </c>
      <c r="C67" s="28" t="inlineStr">
        <is>
          <t>Q1/2025</t>
        </is>
      </c>
      <c r="D67" s="28" t="inlineStr">
        <is>
          <t>K</t>
        </is>
      </c>
      <c r="E67" s="27" t="inlineStr">
        <is>
          <t xml:space="preserve">Rundfunkbeitrag </t>
        </is>
      </c>
      <c r="F67" s="29" t="n">
        <v>91.8</v>
      </c>
      <c r="G67" s="29" t="n">
        <v>91.8</v>
      </c>
      <c r="H67" s="30" t="inlineStr">
        <is>
          <t>X</t>
        </is>
      </c>
      <c r="I67" s="30" t="inlineStr">
        <is>
          <t>A</t>
        </is>
      </c>
      <c r="J67" s="30" t="inlineStr">
        <is>
          <t>M</t>
        </is>
      </c>
      <c r="K67" s="50" t="n"/>
      <c r="L67" s="50" t="n"/>
      <c r="M67" s="49" t="n"/>
      <c r="N67" s="31" t="n"/>
      <c r="O67" s="12">
        <f>IF(tb_rechnungen[[#This Row],[Re-Datum]]&gt;0,MONTH(tb_rechnungen[[#This Row],[Re-Datum]]),"")</f>
        <v/>
      </c>
      <c r="P67" s="13">
        <f>IF(tb_rechnungen[[#This Row],[Re-Datum]]&gt;0,YEAR(tb_rechnungen[[#This Row],[Re-Datum]]),"")</f>
        <v/>
      </c>
      <c r="Q67" s="19">
        <f>IF(tb_rechnungen[[#This Row],[Brutto]]&lt;&gt;0,tb_rechnungen[[#This Row],[Brutto]]-tb_rechnungen[[#This Row],[Netto]],"")</f>
        <v/>
      </c>
      <c r="R67" s="37">
        <f>IF(tb_rechnungen[[#This Row],[Netto]]&lt;&gt;0,ROUND(tb_rechnungen[[#This Row],[Steuer]]/tb_rechnungen[[#This Row],[Netto]],2),"")</f>
        <v/>
      </c>
    </row>
    <row r="68" hidden="1">
      <c r="A68" s="26" t="n">
        <v>45705</v>
      </c>
      <c r="B68" s="27" t="inlineStr">
        <is>
          <t>Microsoft</t>
        </is>
      </c>
      <c r="C68" s="55" t="inlineStr">
        <is>
          <t>G078957663</t>
        </is>
      </c>
      <c r="D68" s="55" t="inlineStr">
        <is>
          <t>E</t>
        </is>
      </c>
      <c r="E68" s="27" t="inlineStr">
        <is>
          <t>Microsoft MCPP Subskription bis 17.02.2026</t>
        </is>
      </c>
      <c r="F68" s="29" t="n">
        <v>322.8</v>
      </c>
      <c r="G68" s="29" t="n">
        <v>384.13</v>
      </c>
      <c r="H68" s="30" t="inlineStr">
        <is>
          <t>X</t>
        </is>
      </c>
      <c r="I68" s="30" t="inlineStr">
        <is>
          <t>A</t>
        </is>
      </c>
      <c r="J68" s="31" t="inlineStr">
        <is>
          <t>M</t>
        </is>
      </c>
      <c r="K68" s="50" t="n"/>
      <c r="L68" s="50" t="n"/>
      <c r="M68" s="49" t="n"/>
      <c r="N68" s="31" t="inlineStr">
        <is>
          <t>FX</t>
        </is>
      </c>
      <c r="O68" s="12">
        <f>IF(tb_rechnungen[[#This Row],[Re-Datum]]&gt;0,MONTH(tb_rechnungen[[#This Row],[Re-Datum]]),"")</f>
        <v/>
      </c>
      <c r="P68" s="13">
        <f>IF(tb_rechnungen[[#This Row],[Re-Datum]]&gt;0,YEAR(tb_rechnungen[[#This Row],[Re-Datum]]),"")</f>
        <v/>
      </c>
      <c r="Q68" s="19">
        <f>IF(tb_rechnungen[[#This Row],[Brutto]]&lt;&gt;0,tb_rechnungen[[#This Row],[Brutto]]-tb_rechnungen[[#This Row],[Netto]],"")</f>
        <v/>
      </c>
      <c r="R68" s="37">
        <f>IF(tb_rechnungen[[#This Row],[Netto]]&lt;&gt;0,ROUND(tb_rechnungen[[#This Row],[Steuer]]/tb_rechnungen[[#This Row],[Netto]],2),"")</f>
        <v/>
      </c>
    </row>
    <row r="69" hidden="1">
      <c r="A69" s="26" t="n">
        <v>45705</v>
      </c>
      <c r="B69" s="27" t="inlineStr">
        <is>
          <t>Infinigate</t>
        </is>
      </c>
      <c r="C69" s="28" t="inlineStr">
        <is>
          <t>PSCM-23007472</t>
        </is>
      </c>
      <c r="D69" s="28" t="inlineStr">
        <is>
          <t>E</t>
        </is>
      </c>
      <c r="E69" s="27" t="inlineStr">
        <is>
          <t>Gutschrift zu RG PSI-23269998</t>
        </is>
      </c>
      <c r="F69" s="29" t="n">
        <v>-250.02</v>
      </c>
      <c r="G69" s="29" t="n">
        <v>-297.52</v>
      </c>
      <c r="H69" s="30" t="inlineStr">
        <is>
          <t>X</t>
        </is>
      </c>
      <c r="I69" s="30" t="inlineStr">
        <is>
          <t>Z</t>
        </is>
      </c>
      <c r="J69" s="31" t="inlineStr">
        <is>
          <t>M</t>
        </is>
      </c>
      <c r="K69" s="50" t="n"/>
      <c r="L69" s="50" t="n"/>
      <c r="M69" s="49" t="n"/>
      <c r="N69" s="31" t="n"/>
      <c r="O69" s="12">
        <f>IF(tb_rechnungen[[#This Row],[Re-Datum]]&gt;0,MONTH(tb_rechnungen[[#This Row],[Re-Datum]]),"")</f>
        <v/>
      </c>
      <c r="P69" s="13">
        <f>IF(tb_rechnungen[[#This Row],[Re-Datum]]&gt;0,YEAR(tb_rechnungen[[#This Row],[Re-Datum]]),"")</f>
        <v/>
      </c>
      <c r="Q69" s="19">
        <f>IF(tb_rechnungen[[#This Row],[Brutto]]&lt;&gt;0,tb_rechnungen[[#This Row],[Brutto]]-tb_rechnungen[[#This Row],[Netto]],"")</f>
        <v/>
      </c>
      <c r="R69" s="37">
        <f>IF(tb_rechnungen[[#This Row],[Netto]]&lt;&gt;0,ROUND(tb_rechnungen[[#This Row],[Steuer]]/tb_rechnungen[[#This Row],[Netto]],2),"")</f>
        <v/>
      </c>
    </row>
    <row r="70" hidden="1">
      <c r="A70" s="26" t="n">
        <v>45705</v>
      </c>
      <c r="B70" s="27" t="inlineStr">
        <is>
          <t>Infinigate</t>
        </is>
      </c>
      <c r="C70" s="28" t="inlineStr">
        <is>
          <t>PSI-23270184</t>
        </is>
      </c>
      <c r="D70" s="28" t="inlineStr">
        <is>
          <t>E</t>
        </is>
      </c>
      <c r="E70" s="27" t="inlineStr">
        <is>
          <t>Rechnungskorrektur zu RG PSI-23269998</t>
        </is>
      </c>
      <c r="F70" s="29" t="n">
        <v>250.02</v>
      </c>
      <c r="G70" s="29" t="n">
        <v>297.52</v>
      </c>
      <c r="H70" s="30" t="inlineStr">
        <is>
          <t>X</t>
        </is>
      </c>
      <c r="I70" s="30" t="inlineStr">
        <is>
          <t>Z</t>
        </is>
      </c>
      <c r="J70" s="31" t="inlineStr">
        <is>
          <t>M</t>
        </is>
      </c>
      <c r="K70" s="50" t="n"/>
      <c r="L70" s="50" t="n"/>
      <c r="M70" s="49" t="n"/>
      <c r="N70" s="31" t="n"/>
      <c r="O70" s="12">
        <f>IF(tb_rechnungen[[#This Row],[Re-Datum]]&gt;0,MONTH(tb_rechnungen[[#This Row],[Re-Datum]]),"")</f>
        <v/>
      </c>
      <c r="P70" s="13">
        <f>IF(tb_rechnungen[[#This Row],[Re-Datum]]&gt;0,YEAR(tb_rechnungen[[#This Row],[Re-Datum]]),"")</f>
        <v/>
      </c>
      <c r="Q70" s="19">
        <f>IF(tb_rechnungen[[#This Row],[Brutto]]&lt;&gt;0,tb_rechnungen[[#This Row],[Brutto]]-tb_rechnungen[[#This Row],[Netto]],"")</f>
        <v/>
      </c>
      <c r="R70" s="37">
        <f>IF(tb_rechnungen[[#This Row],[Netto]]&lt;&gt;0,ROUND(tb_rechnungen[[#This Row],[Steuer]]/tb_rechnungen[[#This Row],[Netto]],2),"")</f>
        <v/>
      </c>
    </row>
    <row r="71" hidden="1">
      <c r="A71" s="26" t="n">
        <v>45706</v>
      </c>
      <c r="B71" s="27" t="inlineStr">
        <is>
          <t>Vendosoft</t>
        </is>
      </c>
      <c r="C71" s="28" t="inlineStr">
        <is>
          <t>RG-1-2025-0853</t>
        </is>
      </c>
      <c r="D71" s="28" t="inlineStr">
        <is>
          <t>E</t>
        </is>
      </c>
      <c r="E71" s="27" t="inlineStr">
        <is>
          <t>Microsoft Office 2024 Professional Plus gebraucht (GZI)</t>
        </is>
      </c>
      <c r="F71" s="29" t="n">
        <v>1545</v>
      </c>
      <c r="G71" s="29" t="n">
        <v>1838.55</v>
      </c>
      <c r="H71" s="30" t="inlineStr">
        <is>
          <t>X</t>
        </is>
      </c>
      <c r="I71" s="30" t="inlineStr">
        <is>
          <t>Z</t>
        </is>
      </c>
      <c r="J71" s="31" t="inlineStr">
        <is>
          <t>M</t>
        </is>
      </c>
      <c r="K71" s="50" t="n"/>
      <c r="L71" s="50" t="n"/>
      <c r="M71" s="49" t="n"/>
      <c r="N71" s="31" t="n"/>
      <c r="O71" s="12">
        <f>IF(tb_rechnungen[[#This Row],[Re-Datum]]&gt;0,MONTH(tb_rechnungen[[#This Row],[Re-Datum]]),"")</f>
        <v/>
      </c>
      <c r="P71" s="13">
        <f>IF(tb_rechnungen[[#This Row],[Re-Datum]]&gt;0,YEAR(tb_rechnungen[[#This Row],[Re-Datum]]),"")</f>
        <v/>
      </c>
      <c r="Q71" s="19">
        <f>IF(tb_rechnungen[[#This Row],[Brutto]]&lt;&gt;0,tb_rechnungen[[#This Row],[Brutto]]-tb_rechnungen[[#This Row],[Netto]],"")</f>
        <v/>
      </c>
      <c r="R71" s="37">
        <f>IF(tb_rechnungen[[#This Row],[Netto]]&lt;&gt;0,ROUND(tb_rechnungen[[#This Row],[Steuer]]/tb_rechnungen[[#This Row],[Netto]],2),"")</f>
        <v/>
      </c>
    </row>
    <row r="72" hidden="1">
      <c r="A72" s="26" t="n">
        <v>45706</v>
      </c>
      <c r="B72" s="27" t="inlineStr">
        <is>
          <t xml:space="preserve">IHK </t>
        </is>
      </c>
      <c r="C72" s="28" t="inlineStr">
        <is>
          <t>3036315600259</t>
        </is>
      </c>
      <c r="D72" s="28" t="inlineStr">
        <is>
          <t>K</t>
        </is>
      </c>
      <c r="E72" s="27" t="inlineStr">
        <is>
          <t>Beitragsbescheid 2025</t>
        </is>
      </c>
      <c r="F72" s="29" t="n">
        <v>161.04</v>
      </c>
      <c r="G72" s="29" t="n">
        <v>161.04</v>
      </c>
      <c r="H72" s="30" t="inlineStr">
        <is>
          <t>X</t>
        </is>
      </c>
      <c r="I72" s="30" t="inlineStr">
        <is>
          <t>Z</t>
        </is>
      </c>
      <c r="J72" s="31" t="inlineStr">
        <is>
          <t>M</t>
        </is>
      </c>
      <c r="K72" s="50" t="n"/>
      <c r="L72" s="50" t="n"/>
      <c r="M72" s="49" t="n"/>
      <c r="N72" s="31" t="n"/>
      <c r="O72" s="12">
        <f>IF(tb_rechnungen[[#This Row],[Re-Datum]]&gt;0,MONTH(tb_rechnungen[[#This Row],[Re-Datum]]),"")</f>
        <v/>
      </c>
      <c r="P72" s="13">
        <f>IF(tb_rechnungen[[#This Row],[Re-Datum]]&gt;0,YEAR(tb_rechnungen[[#This Row],[Re-Datum]]),"")</f>
        <v/>
      </c>
      <c r="Q72" s="19">
        <f>IF(tb_rechnungen[[#This Row],[Brutto]]&lt;&gt;0,tb_rechnungen[[#This Row],[Brutto]]-tb_rechnungen[[#This Row],[Netto]],"")</f>
        <v/>
      </c>
      <c r="R72" s="37">
        <f>IF(tb_rechnungen[[#This Row],[Netto]]&lt;&gt;0,ROUND(tb_rechnungen[[#This Row],[Steuer]]/tb_rechnungen[[#This Row],[Netto]],2),"")</f>
        <v/>
      </c>
    </row>
    <row r="73" hidden="1">
      <c r="A73" s="26" t="n">
        <v>45707</v>
      </c>
      <c r="B73" s="27" t="inlineStr">
        <is>
          <t>Telekom</t>
        </is>
      </c>
      <c r="C73" s="28" t="inlineStr">
        <is>
          <t>774 203 6574</t>
        </is>
      </c>
      <c r="D73" s="28" t="inlineStr">
        <is>
          <t>K</t>
        </is>
      </c>
      <c r="E73" s="27" t="inlineStr">
        <is>
          <t>Festnetz-Rechnung Faszl Februar</t>
        </is>
      </c>
      <c r="F73" s="29" t="n">
        <v>37.77</v>
      </c>
      <c r="G73" s="29" t="n">
        <v>44.95</v>
      </c>
      <c r="H73" s="30" t="inlineStr">
        <is>
          <t>X</t>
        </is>
      </c>
      <c r="I73" s="30" t="inlineStr">
        <is>
          <t>A</t>
        </is>
      </c>
      <c r="J73" s="31" t="inlineStr">
        <is>
          <t>M</t>
        </is>
      </c>
      <c r="K73" s="50" t="n"/>
      <c r="L73" s="50" t="n"/>
      <c r="M73" s="49" t="n"/>
      <c r="N73" s="31" t="n"/>
      <c r="O73" s="12">
        <f>IF(tb_rechnungen[[#This Row],[Re-Datum]]&gt;0,MONTH(tb_rechnungen[[#This Row],[Re-Datum]]),"")</f>
        <v/>
      </c>
      <c r="P73" s="13">
        <f>IF(tb_rechnungen[[#This Row],[Re-Datum]]&gt;0,YEAR(tb_rechnungen[[#This Row],[Re-Datum]]),"")</f>
        <v/>
      </c>
      <c r="Q73" s="19">
        <f>IF(tb_rechnungen[[#This Row],[Brutto]]&lt;&gt;0,tb_rechnungen[[#This Row],[Brutto]]-tb_rechnungen[[#This Row],[Netto]],"")</f>
        <v/>
      </c>
      <c r="R73" s="37">
        <f>IF(tb_rechnungen[[#This Row],[Netto]]&lt;&gt;0,ROUND(tb_rechnungen[[#This Row],[Steuer]]/tb_rechnungen[[#This Row],[Netto]],2),"")</f>
        <v/>
      </c>
    </row>
    <row r="74" hidden="1">
      <c r="A74" s="26" t="n">
        <v>45707</v>
      </c>
      <c r="B74" s="27" t="inlineStr">
        <is>
          <t>Vendosoft</t>
        </is>
      </c>
      <c r="C74" s="28" t="inlineStr">
        <is>
          <t>RG-1-2025-0873</t>
        </is>
      </c>
      <c r="D74" s="28" t="inlineStr">
        <is>
          <t>E</t>
        </is>
      </c>
      <c r="E74" s="27" t="inlineStr">
        <is>
          <t>Microsoft Windows 10 Enterprise (Wfb)</t>
        </is>
      </c>
      <c r="F74" s="29" t="n">
        <v>190</v>
      </c>
      <c r="G74" s="29" t="n">
        <v>226.1</v>
      </c>
      <c r="H74" s="30" t="inlineStr">
        <is>
          <t>X</t>
        </is>
      </c>
      <c r="I74" s="30" t="inlineStr">
        <is>
          <t>Z</t>
        </is>
      </c>
      <c r="J74" s="31" t="inlineStr">
        <is>
          <t>M</t>
        </is>
      </c>
      <c r="K74" s="50" t="n"/>
      <c r="L74" s="50" t="n"/>
      <c r="M74" s="49" t="n"/>
      <c r="N74" s="31" t="n"/>
      <c r="O74" s="12">
        <f>IF(tb_rechnungen[[#This Row],[Re-Datum]]&gt;0,MONTH(tb_rechnungen[[#This Row],[Re-Datum]]),"")</f>
        <v/>
      </c>
      <c r="P74" s="13">
        <f>IF(tb_rechnungen[[#This Row],[Re-Datum]]&gt;0,YEAR(tb_rechnungen[[#This Row],[Re-Datum]]),"")</f>
        <v/>
      </c>
      <c r="Q74" s="19">
        <f>IF(tb_rechnungen[[#This Row],[Brutto]]&lt;&gt;0,tb_rechnungen[[#This Row],[Brutto]]-tb_rechnungen[[#This Row],[Netto]],"")</f>
        <v/>
      </c>
      <c r="R74" s="37">
        <f>IF(tb_rechnungen[[#This Row],[Netto]]&lt;&gt;0,ROUND(tb_rechnungen[[#This Row],[Steuer]]/tb_rechnungen[[#This Row],[Netto]],2),"")</f>
        <v/>
      </c>
    </row>
    <row r="75" hidden="1">
      <c r="A75" s="26" t="n">
        <v>45707</v>
      </c>
      <c r="B75" s="27" t="inlineStr">
        <is>
          <t>Infinigate</t>
        </is>
      </c>
      <c r="C75" s="28" t="inlineStr">
        <is>
          <t>PSI-23271422</t>
        </is>
      </c>
      <c r="D75" s="28" t="inlineStr">
        <is>
          <t>E</t>
        </is>
      </c>
      <c r="E75" s="27" t="inlineStr">
        <is>
          <t>Trellix (GZI)</t>
        </is>
      </c>
      <c r="F75" s="29" t="n">
        <v>289.95</v>
      </c>
      <c r="G75" s="29" t="n">
        <v>345.04</v>
      </c>
      <c r="H75" s="30" t="inlineStr">
        <is>
          <t>X</t>
        </is>
      </c>
      <c r="I75" s="30" t="inlineStr">
        <is>
          <t>Z</t>
        </is>
      </c>
      <c r="J75" s="31" t="inlineStr">
        <is>
          <t>M</t>
        </is>
      </c>
      <c r="K75" s="50" t="n"/>
      <c r="L75" s="50" t="n"/>
      <c r="M75" s="49" t="n"/>
      <c r="N75" s="31" t="n"/>
      <c r="O75" s="12">
        <f>IF(tb_rechnungen[[#This Row],[Re-Datum]]&gt;0,MONTH(tb_rechnungen[[#This Row],[Re-Datum]]),"")</f>
        <v/>
      </c>
      <c r="P75" s="13">
        <f>IF(tb_rechnungen[[#This Row],[Re-Datum]]&gt;0,YEAR(tb_rechnungen[[#This Row],[Re-Datum]]),"")</f>
        <v/>
      </c>
      <c r="Q75" s="19">
        <f>IF(tb_rechnungen[[#This Row],[Brutto]]&lt;&gt;0,tb_rechnungen[[#This Row],[Brutto]]-tb_rechnungen[[#This Row],[Netto]],"")</f>
        <v/>
      </c>
      <c r="R75" s="37">
        <f>IF(tb_rechnungen[[#This Row],[Netto]]&lt;&gt;0,ROUND(tb_rechnungen[[#This Row],[Steuer]]/tb_rechnungen[[#This Row],[Netto]],2),"")</f>
        <v/>
      </c>
    </row>
    <row r="76" hidden="1">
      <c r="A76" s="26" t="n">
        <v>45707</v>
      </c>
      <c r="B76" s="27" t="inlineStr">
        <is>
          <t>Macle</t>
        </is>
      </c>
      <c r="C76" s="28" t="inlineStr">
        <is>
          <t>511225</t>
        </is>
      </c>
      <c r="D76" s="28" t="inlineStr">
        <is>
          <t>E</t>
        </is>
      </c>
      <c r="E76" s="27" t="inlineStr">
        <is>
          <t>HP Z1 G9 TOWER (FED)</t>
        </is>
      </c>
      <c r="F76" s="29" t="n">
        <v>2850</v>
      </c>
      <c r="G76" s="29" t="n">
        <v>3391.5</v>
      </c>
      <c r="H76" s="30" t="inlineStr">
        <is>
          <t>X</t>
        </is>
      </c>
      <c r="I76" s="30" t="inlineStr">
        <is>
          <t>Z</t>
        </is>
      </c>
      <c r="J76" s="31" t="inlineStr">
        <is>
          <t>M</t>
        </is>
      </c>
      <c r="K76" s="50" t="n"/>
      <c r="L76" s="50" t="n"/>
      <c r="M76" s="49" t="n"/>
      <c r="N76" s="31" t="n"/>
      <c r="O76" s="12">
        <f>IF(tb_rechnungen[[#This Row],[Re-Datum]]&gt;0,MONTH(tb_rechnungen[[#This Row],[Re-Datum]]),"")</f>
        <v/>
      </c>
      <c r="P76" s="13">
        <f>IF(tb_rechnungen[[#This Row],[Re-Datum]]&gt;0,YEAR(tb_rechnungen[[#This Row],[Re-Datum]]),"")</f>
        <v/>
      </c>
      <c r="Q76" s="19">
        <f>IF(tb_rechnungen[[#This Row],[Brutto]]&lt;&gt;0,tb_rechnungen[[#This Row],[Brutto]]-tb_rechnungen[[#This Row],[Netto]],"")</f>
        <v/>
      </c>
      <c r="R76" s="37">
        <f>IF(tb_rechnungen[[#This Row],[Netto]]&lt;&gt;0,ROUND(tb_rechnungen[[#This Row],[Steuer]]/tb_rechnungen[[#This Row],[Netto]],2),"")</f>
        <v/>
      </c>
    </row>
    <row r="77" hidden="1">
      <c r="A77" s="26" t="n">
        <v>45703</v>
      </c>
      <c r="B77" s="27" t="inlineStr">
        <is>
          <t>DKV</t>
        </is>
      </c>
      <c r="C77" s="28" t="inlineStr">
        <is>
          <t>25/641972981/001</t>
        </is>
      </c>
      <c r="D77" s="28" t="inlineStr">
        <is>
          <t>K</t>
        </is>
      </c>
      <c r="E77" s="27" t="inlineStr">
        <is>
          <t>Abrechnung</t>
        </is>
      </c>
      <c r="F77" s="29" t="n">
        <v>142.07</v>
      </c>
      <c r="G77" s="29" t="n">
        <v>169.06</v>
      </c>
      <c r="H77" s="30" t="inlineStr">
        <is>
          <t>X</t>
        </is>
      </c>
      <c r="I77" s="30" t="inlineStr">
        <is>
          <t>A</t>
        </is>
      </c>
      <c r="J77" s="31" t="inlineStr">
        <is>
          <t>M</t>
        </is>
      </c>
      <c r="K77" s="50" t="n"/>
      <c r="L77" s="50" t="n"/>
      <c r="M77" s="49" t="n"/>
      <c r="N77" s="31" t="n"/>
      <c r="O77" s="12">
        <f>IF(tb_rechnungen[[#This Row],[Re-Datum]]&gt;0,MONTH(tb_rechnungen[[#This Row],[Re-Datum]]),"")</f>
        <v/>
      </c>
      <c r="P77" s="13">
        <f>IF(tb_rechnungen[[#This Row],[Re-Datum]]&gt;0,YEAR(tb_rechnungen[[#This Row],[Re-Datum]]),"")</f>
        <v/>
      </c>
      <c r="Q77" s="19">
        <f>IF(tb_rechnungen[[#This Row],[Brutto]]&lt;&gt;0,tb_rechnungen[[#This Row],[Brutto]]-tb_rechnungen[[#This Row],[Netto]],"")</f>
        <v/>
      </c>
      <c r="R77" s="37">
        <f>IF(tb_rechnungen[[#This Row],[Netto]]&lt;&gt;0,ROUND(tb_rechnungen[[#This Row],[Steuer]]/tb_rechnungen[[#This Row],[Netto]],2),"")</f>
        <v/>
      </c>
    </row>
    <row r="78" hidden="1">
      <c r="A78" s="26" t="n">
        <v>45712</v>
      </c>
      <c r="B78" s="27" t="inlineStr">
        <is>
          <t>Four Js</t>
        </is>
      </c>
      <c r="C78" s="28" t="inlineStr">
        <is>
          <t>SI000656</t>
        </is>
      </c>
      <c r="D78" s="28" t="inlineStr">
        <is>
          <t>E</t>
        </is>
      </c>
      <c r="E78" s="27" t="inlineStr">
        <is>
          <t>Genero Runtime (Hes)</t>
        </is>
      </c>
      <c r="F78" s="29" t="n">
        <v>297.02</v>
      </c>
      <c r="G78" s="29" t="n">
        <v>297.02</v>
      </c>
      <c r="H78" s="30" t="inlineStr">
        <is>
          <t>X</t>
        </is>
      </c>
      <c r="I78" s="30" t="inlineStr">
        <is>
          <t>Z</t>
        </is>
      </c>
      <c r="J78" s="31" t="inlineStr">
        <is>
          <t>M</t>
        </is>
      </c>
      <c r="K78" s="50" t="n"/>
      <c r="L78" s="50" t="n"/>
      <c r="M78" s="49" t="n"/>
      <c r="N78" s="31" t="n"/>
      <c r="O78" s="12">
        <f>IF(tb_rechnungen[[#This Row],[Re-Datum]]&gt;0,MONTH(tb_rechnungen[[#This Row],[Re-Datum]]),"")</f>
        <v/>
      </c>
      <c r="P78" s="13">
        <f>IF(tb_rechnungen[[#This Row],[Re-Datum]]&gt;0,YEAR(tb_rechnungen[[#This Row],[Re-Datum]]),"")</f>
        <v/>
      </c>
      <c r="Q78" s="19">
        <f>IF(tb_rechnungen[[#This Row],[Brutto]]&lt;&gt;0,tb_rechnungen[[#This Row],[Brutto]]-tb_rechnungen[[#This Row],[Netto]],"")</f>
        <v/>
      </c>
      <c r="R78" s="37">
        <f>IF(tb_rechnungen[[#This Row],[Netto]]&lt;&gt;0,ROUND(tb_rechnungen[[#This Row],[Steuer]]/tb_rechnungen[[#This Row],[Netto]],2),"")</f>
        <v/>
      </c>
    </row>
    <row r="79" hidden="1">
      <c r="A79" s="26" t="n">
        <v>45714</v>
      </c>
      <c r="B79" s="27" t="inlineStr">
        <is>
          <t>Telekom</t>
        </is>
      </c>
      <c r="C79" s="28" t="inlineStr">
        <is>
          <t>774 600 6516</t>
        </is>
      </c>
      <c r="D79" s="28" t="inlineStr">
        <is>
          <t>K</t>
        </is>
      </c>
      <c r="E79" s="27" t="inlineStr">
        <is>
          <t>Festnetz-Rechnung Geschäftskunden März</t>
        </is>
      </c>
      <c r="F79" s="29" t="n">
        <v>39.9</v>
      </c>
      <c r="G79" s="29" t="n">
        <v>47.48</v>
      </c>
      <c r="H79" s="30" t="inlineStr">
        <is>
          <t>X</t>
        </is>
      </c>
      <c r="I79" s="30" t="inlineStr">
        <is>
          <t>A</t>
        </is>
      </c>
      <c r="J79" s="31" t="inlineStr">
        <is>
          <t>M</t>
        </is>
      </c>
      <c r="K79" s="50" t="n"/>
      <c r="L79" s="50" t="n"/>
      <c r="M79" s="49" t="n"/>
      <c r="N79" s="31" t="n"/>
      <c r="O79" s="12">
        <f>IF(tb_rechnungen[[#This Row],[Re-Datum]]&gt;0,MONTH(tb_rechnungen[[#This Row],[Re-Datum]]),"")</f>
        <v/>
      </c>
      <c r="P79" s="13">
        <f>IF(tb_rechnungen[[#This Row],[Re-Datum]]&gt;0,YEAR(tb_rechnungen[[#This Row],[Re-Datum]]),"")</f>
        <v/>
      </c>
      <c r="Q79" s="19">
        <f>IF(tb_rechnungen[[#This Row],[Brutto]]&lt;&gt;0,tb_rechnungen[[#This Row],[Brutto]]-tb_rechnungen[[#This Row],[Netto]],"")</f>
        <v/>
      </c>
      <c r="R79" s="37">
        <f>IF(tb_rechnungen[[#This Row],[Netto]]&lt;&gt;0,ROUND(tb_rechnungen[[#This Row],[Steuer]]/tb_rechnungen[[#This Row],[Netto]],2),"")</f>
        <v/>
      </c>
    </row>
    <row r="80" hidden="1">
      <c r="A80" s="26" t="n">
        <v>45715</v>
      </c>
      <c r="B80" s="27" t="inlineStr">
        <is>
          <t>Vendosoft</t>
        </is>
      </c>
      <c r="C80" s="28" t="inlineStr">
        <is>
          <t>RG-1-2025-0970</t>
        </is>
      </c>
      <c r="D80" s="28" t="inlineStr">
        <is>
          <t>E</t>
        </is>
      </c>
      <c r="E80" s="27" t="inlineStr">
        <is>
          <t>Microsoft Office 2021 Standard gebraucht (FED)</t>
        </is>
      </c>
      <c r="F80" s="29" t="n">
        <v>316</v>
      </c>
      <c r="G80" s="29" t="n">
        <v>376.04</v>
      </c>
      <c r="H80" s="30" t="inlineStr">
        <is>
          <t>X</t>
        </is>
      </c>
      <c r="I80" s="30" t="inlineStr">
        <is>
          <t>Z</t>
        </is>
      </c>
      <c r="J80" s="31" t="inlineStr">
        <is>
          <t>M</t>
        </is>
      </c>
      <c r="K80" s="50" t="n"/>
      <c r="L80" s="50" t="n"/>
      <c r="M80" s="49" t="n"/>
      <c r="N80" s="31" t="n"/>
      <c r="O80" s="12">
        <f>IF(tb_rechnungen[[#This Row],[Re-Datum]]&gt;0,MONTH(tb_rechnungen[[#This Row],[Re-Datum]]),"")</f>
        <v/>
      </c>
      <c r="P80" s="13">
        <f>IF(tb_rechnungen[[#This Row],[Re-Datum]]&gt;0,YEAR(tb_rechnungen[[#This Row],[Re-Datum]]),"")</f>
        <v/>
      </c>
      <c r="Q80" s="19">
        <f>IF(tb_rechnungen[[#This Row],[Brutto]]&lt;&gt;0,tb_rechnungen[[#This Row],[Brutto]]-tb_rechnungen[[#This Row],[Netto]],"")</f>
        <v/>
      </c>
      <c r="R80" s="37">
        <f>IF(tb_rechnungen[[#This Row],[Netto]]&lt;&gt;0,ROUND(tb_rechnungen[[#This Row],[Steuer]]/tb_rechnungen[[#This Row],[Netto]],2),"")</f>
        <v/>
      </c>
    </row>
    <row r="81" hidden="1">
      <c r="A81" s="26" t="n">
        <v>45715</v>
      </c>
      <c r="B81" s="27" t="inlineStr">
        <is>
          <t>DHL</t>
        </is>
      </c>
      <c r="C81" s="28" t="inlineStr">
        <is>
          <t>DOF-0040115379</t>
        </is>
      </c>
      <c r="D81" s="28" t="inlineStr">
        <is>
          <t>E</t>
        </is>
      </c>
      <c r="E81" s="27" t="inlineStr">
        <is>
          <t>Paket BLKTBL107 Zurück an BLK</t>
        </is>
      </c>
      <c r="F81" s="29" t="n">
        <v>6.19</v>
      </c>
      <c r="G81" s="29" t="n">
        <v>6.19</v>
      </c>
      <c r="H81" s="30" t="inlineStr">
        <is>
          <t>X</t>
        </is>
      </c>
      <c r="I81" s="30" t="inlineStr">
        <is>
          <t>A</t>
        </is>
      </c>
      <c r="J81" s="31" t="inlineStr">
        <is>
          <t>M</t>
        </is>
      </c>
      <c r="K81" s="50" t="n"/>
      <c r="L81" s="50" t="n"/>
      <c r="M81" s="49" t="n"/>
      <c r="N81" s="31" t="n"/>
      <c r="O81" s="12">
        <f>IF(tb_rechnungen[[#This Row],[Re-Datum]]&gt;0,MONTH(tb_rechnungen[[#This Row],[Re-Datum]]),"")</f>
        <v/>
      </c>
      <c r="P81" s="13">
        <f>IF(tb_rechnungen[[#This Row],[Re-Datum]]&gt;0,YEAR(tb_rechnungen[[#This Row],[Re-Datum]]),"")</f>
        <v/>
      </c>
      <c r="Q81" s="19">
        <f>IF(tb_rechnungen[[#This Row],[Brutto]]&lt;&gt;0,tb_rechnungen[[#This Row],[Brutto]]-tb_rechnungen[[#This Row],[Netto]],"")</f>
        <v/>
      </c>
      <c r="R81" s="37">
        <f>IF(tb_rechnungen[[#This Row],[Netto]]&lt;&gt;0,ROUND(tb_rechnungen[[#This Row],[Steuer]]/tb_rechnungen[[#This Row],[Netto]],2),"")</f>
        <v/>
      </c>
    </row>
    <row r="82" hidden="1">
      <c r="A82" s="26" t="n">
        <v>45716</v>
      </c>
      <c r="B82" s="27" t="inlineStr">
        <is>
          <t xml:space="preserve">DTS </t>
        </is>
      </c>
      <c r="C82" s="28" t="inlineStr">
        <is>
          <t>25-13-060169</t>
        </is>
      </c>
      <c r="D82" s="28" t="inlineStr">
        <is>
          <t>K</t>
        </is>
      </c>
      <c r="E82" s="27" t="inlineStr">
        <is>
          <t>Centrexx3 Februar</t>
        </is>
      </c>
      <c r="F82" s="29" t="n">
        <v>2.13</v>
      </c>
      <c r="G82" s="29" t="n">
        <v>2.53</v>
      </c>
      <c r="H82" s="30" t="inlineStr">
        <is>
          <t>X</t>
        </is>
      </c>
      <c r="I82" s="30" t="inlineStr">
        <is>
          <t>A</t>
        </is>
      </c>
      <c r="J82" s="31" t="inlineStr">
        <is>
          <t>M</t>
        </is>
      </c>
      <c r="K82" s="50" t="n"/>
      <c r="L82" s="50" t="n"/>
      <c r="M82" s="49" t="n"/>
      <c r="N82" s="31" t="n"/>
      <c r="O82" s="12">
        <f>IF(tb_rechnungen[[#This Row],[Re-Datum]]&gt;0,MONTH(tb_rechnungen[[#This Row],[Re-Datum]]),"")</f>
        <v/>
      </c>
      <c r="P82" s="13">
        <f>IF(tb_rechnungen[[#This Row],[Re-Datum]]&gt;0,YEAR(tb_rechnungen[[#This Row],[Re-Datum]]),"")</f>
        <v/>
      </c>
      <c r="Q82" s="19">
        <f>IF(tb_rechnungen[[#This Row],[Brutto]]&lt;&gt;0,tb_rechnungen[[#This Row],[Brutto]]-tb_rechnungen[[#This Row],[Netto]],"")</f>
        <v/>
      </c>
      <c r="R82" s="37">
        <f>IF(tb_rechnungen[[#This Row],[Netto]]&lt;&gt;0,ROUND(tb_rechnungen[[#This Row],[Steuer]]/tb_rechnungen[[#This Row],[Netto]],2),"")</f>
        <v/>
      </c>
    </row>
    <row r="83" hidden="1">
      <c r="A83" s="26" t="n">
        <v>45716</v>
      </c>
      <c r="B83" s="27" t="inlineStr">
        <is>
          <t>DKV</t>
        </is>
      </c>
      <c r="C83" s="28" t="inlineStr">
        <is>
          <t>25-642307164-001</t>
        </is>
      </c>
      <c r="D83" s="28" t="inlineStr">
        <is>
          <t>K</t>
        </is>
      </c>
      <c r="E83" s="27" t="inlineStr">
        <is>
          <t xml:space="preserve">Abrechnung Feburar </t>
        </is>
      </c>
      <c r="F83" s="29" t="n">
        <v>157.98</v>
      </c>
      <c r="G83" s="29" t="n">
        <v>188</v>
      </c>
      <c r="H83" s="30" t="inlineStr">
        <is>
          <t>X</t>
        </is>
      </c>
      <c r="I83" s="30" t="inlineStr">
        <is>
          <t>A</t>
        </is>
      </c>
      <c r="J83" s="31" t="inlineStr">
        <is>
          <t>M</t>
        </is>
      </c>
      <c r="K83" s="50" t="n"/>
      <c r="L83" s="50" t="n"/>
      <c r="M83" s="49" t="n"/>
      <c r="N83" s="31" t="n"/>
      <c r="O83" s="12">
        <f>IF(tb_rechnungen[[#This Row],[Re-Datum]]&gt;0,MONTH(tb_rechnungen[[#This Row],[Re-Datum]]),"")</f>
        <v/>
      </c>
      <c r="P83" s="13">
        <f>IF(tb_rechnungen[[#This Row],[Re-Datum]]&gt;0,YEAR(tb_rechnungen[[#This Row],[Re-Datum]]),"")</f>
        <v/>
      </c>
      <c r="Q83" s="19">
        <f>IF(tb_rechnungen[[#This Row],[Brutto]]&lt;&gt;0,tb_rechnungen[[#This Row],[Brutto]]-tb_rechnungen[[#This Row],[Netto]],"")</f>
        <v/>
      </c>
      <c r="R83" s="37">
        <f>IF(tb_rechnungen[[#This Row],[Netto]]&lt;&gt;0,ROUND(tb_rechnungen[[#This Row],[Steuer]]/tb_rechnungen[[#This Row],[Netto]],2),"")</f>
        <v/>
      </c>
    </row>
    <row r="84" hidden="1">
      <c r="A84" s="26" t="n">
        <v>45716</v>
      </c>
      <c r="B84" s="27" t="inlineStr">
        <is>
          <t>Kai Hofheinz</t>
        </is>
      </c>
      <c r="C84" s="28" t="inlineStr">
        <is>
          <t>RG 2025-101</t>
        </is>
      </c>
      <c r="D84" s="28" t="inlineStr">
        <is>
          <t>K</t>
        </is>
      </c>
      <c r="E84" s="27" t="inlineStr">
        <is>
          <t>Gem. Schreiben vom 28.02.2025</t>
        </is>
      </c>
      <c r="F84" s="29" t="n">
        <v>150</v>
      </c>
      <c r="G84" s="29" t="n">
        <v>150</v>
      </c>
      <c r="H84" s="30" t="inlineStr">
        <is>
          <t>X</t>
        </is>
      </c>
      <c r="I84" s="30" t="inlineStr">
        <is>
          <t>A</t>
        </is>
      </c>
      <c r="J84" s="31" t="inlineStr">
        <is>
          <t>M</t>
        </is>
      </c>
      <c r="K84" s="50" t="n"/>
      <c r="L84" s="50" t="n"/>
      <c r="M84" s="49" t="n"/>
      <c r="N84" s="31" t="inlineStr">
        <is>
          <t>FX</t>
        </is>
      </c>
      <c r="O84" s="12">
        <f>IF(tb_rechnungen[[#This Row],[Re-Datum]]&gt;0,MONTH(tb_rechnungen[[#This Row],[Re-Datum]]),"")</f>
        <v/>
      </c>
      <c r="P84" s="13">
        <f>IF(tb_rechnungen[[#This Row],[Re-Datum]]&gt;0,YEAR(tb_rechnungen[[#This Row],[Re-Datum]]),"")</f>
        <v/>
      </c>
      <c r="Q84" s="19">
        <f>IF(tb_rechnungen[[#This Row],[Brutto]]&lt;&gt;0,tb_rechnungen[[#This Row],[Brutto]]-tb_rechnungen[[#This Row],[Netto]],"")</f>
        <v/>
      </c>
      <c r="R84" s="37">
        <f>IF(tb_rechnungen[[#This Row],[Netto]]&lt;&gt;0,ROUND(tb_rechnungen[[#This Row],[Steuer]]/tb_rechnungen[[#This Row],[Netto]],2),"")</f>
        <v/>
      </c>
    </row>
    <row r="85" hidden="1">
      <c r="A85" s="26" t="n">
        <v>45716</v>
      </c>
      <c r="B85" s="27" t="inlineStr">
        <is>
          <t>Nextcloud</t>
        </is>
      </c>
      <c r="C85" s="28" t="inlineStr">
        <is>
          <t>RG 2025-00149</t>
        </is>
      </c>
      <c r="D85" s="28" t="inlineStr">
        <is>
          <t>E</t>
        </is>
      </c>
      <c r="E85" s="27" t="inlineStr">
        <is>
          <t>Nextcloud Wartung 1 Jahr GML</t>
        </is>
      </c>
      <c r="F85" s="29" t="n">
        <v>2890</v>
      </c>
      <c r="G85" s="29" t="n">
        <v>3439.1</v>
      </c>
      <c r="H85" s="30" t="inlineStr">
        <is>
          <t>X</t>
        </is>
      </c>
      <c r="I85" s="30" t="inlineStr">
        <is>
          <t>Z</t>
        </is>
      </c>
      <c r="J85" s="31" t="inlineStr">
        <is>
          <t>M</t>
        </is>
      </c>
      <c r="K85" s="50" t="n"/>
      <c r="L85" s="50" t="n"/>
      <c r="M85" s="49" t="n"/>
      <c r="N85" s="31" t="n"/>
      <c r="O85" s="12">
        <f>IF(tb_rechnungen[[#This Row],[Re-Datum]]&gt;0,MONTH(tb_rechnungen[[#This Row],[Re-Datum]]),"")</f>
        <v/>
      </c>
      <c r="P85" s="13">
        <f>IF(tb_rechnungen[[#This Row],[Re-Datum]]&gt;0,YEAR(tb_rechnungen[[#This Row],[Re-Datum]]),"")</f>
        <v/>
      </c>
      <c r="Q85" s="19">
        <f>IF(tb_rechnungen[[#This Row],[Brutto]]&lt;&gt;0,tb_rechnungen[[#This Row],[Brutto]]-tb_rechnungen[[#This Row],[Netto]],"")</f>
        <v/>
      </c>
      <c r="R85" s="37">
        <f>IF(tb_rechnungen[[#This Row],[Netto]]&lt;&gt;0,ROUND(tb_rechnungen[[#This Row],[Steuer]]/tb_rechnungen[[#This Row],[Netto]],2),"")</f>
        <v/>
      </c>
    </row>
    <row r="86" hidden="1">
      <c r="A86" s="26" t="n">
        <v>45717</v>
      </c>
      <c r="B86" s="27" t="inlineStr">
        <is>
          <t>VW Leasing</t>
        </is>
      </c>
      <c r="C86" s="28" t="inlineStr">
        <is>
          <t>R10238706339</t>
        </is>
      </c>
      <c r="D86" s="28" t="inlineStr">
        <is>
          <t>K</t>
        </is>
      </c>
      <c r="E86" s="27" t="inlineStr">
        <is>
          <t>Service-Rate 03.2025</t>
        </is>
      </c>
      <c r="F86" s="29" t="n">
        <v>37.43</v>
      </c>
      <c r="G86" s="29" t="n">
        <v>44.54</v>
      </c>
      <c r="H86" s="30" t="inlineStr">
        <is>
          <t>X</t>
        </is>
      </c>
      <c r="I86" s="30" t="inlineStr">
        <is>
          <t>A</t>
        </is>
      </c>
      <c r="J86" s="31" t="inlineStr">
        <is>
          <t>M</t>
        </is>
      </c>
      <c r="K86" s="50" t="n"/>
      <c r="L86" s="50" t="n"/>
      <c r="M86" s="49" t="n"/>
      <c r="N86" s="31" t="n"/>
      <c r="O86" s="12">
        <f>IF(tb_rechnungen[[#This Row],[Re-Datum]]&gt;0,MONTH(tb_rechnungen[[#This Row],[Re-Datum]]),"")</f>
        <v/>
      </c>
      <c r="P86" s="13">
        <f>IF(tb_rechnungen[[#This Row],[Re-Datum]]&gt;0,YEAR(tb_rechnungen[[#This Row],[Re-Datum]]),"")</f>
        <v/>
      </c>
      <c r="Q86" s="19">
        <f>IF(tb_rechnungen[[#This Row],[Brutto]]&lt;&gt;0,tb_rechnungen[[#This Row],[Brutto]]-tb_rechnungen[[#This Row],[Netto]],"")</f>
        <v/>
      </c>
      <c r="R86" s="37">
        <f>IF(tb_rechnungen[[#This Row],[Netto]]&lt;&gt;0,ROUND(tb_rechnungen[[#This Row],[Steuer]]/tb_rechnungen[[#This Row],[Netto]],2),"")</f>
        <v/>
      </c>
    </row>
    <row r="87" hidden="1">
      <c r="A87" s="26" t="n">
        <v>45719</v>
      </c>
      <c r="B87" s="27" t="inlineStr">
        <is>
          <t>Haus&amp;Grund</t>
        </is>
      </c>
      <c r="C87" s="28" t="inlineStr">
        <is>
          <t>Miete 03/2025</t>
        </is>
      </c>
      <c r="D87" s="28" t="inlineStr">
        <is>
          <t>K</t>
        </is>
      </c>
      <c r="E87" s="27" t="inlineStr">
        <is>
          <t>Miete</t>
        </is>
      </c>
      <c r="F87" s="29" t="n">
        <v>225</v>
      </c>
      <c r="G87" s="29" t="n">
        <v>225</v>
      </c>
      <c r="H87" s="30" t="inlineStr">
        <is>
          <t>X</t>
        </is>
      </c>
      <c r="I87" s="30" t="inlineStr">
        <is>
          <t>D</t>
        </is>
      </c>
      <c r="J87" s="30" t="inlineStr">
        <is>
          <t>M</t>
        </is>
      </c>
      <c r="K87" s="50" t="n"/>
      <c r="L87" s="50" t="n"/>
      <c r="M87" s="49" t="n"/>
      <c r="N87" s="31" t="n"/>
      <c r="O87" s="12">
        <f>IF(tb_rechnungen[[#This Row],[Re-Datum]]&gt;0,MONTH(tb_rechnungen[[#This Row],[Re-Datum]]),"")</f>
        <v/>
      </c>
      <c r="P87" s="13">
        <f>IF(tb_rechnungen[[#This Row],[Re-Datum]]&gt;0,YEAR(tb_rechnungen[[#This Row],[Re-Datum]]),"")</f>
        <v/>
      </c>
      <c r="Q87" s="19">
        <f>IF(tb_rechnungen[[#This Row],[Brutto]]&lt;&gt;0,tb_rechnungen[[#This Row],[Brutto]]-tb_rechnungen[[#This Row],[Netto]],"")</f>
        <v/>
      </c>
      <c r="R87" s="37">
        <f>IF(tb_rechnungen[[#This Row],[Netto]]&lt;&gt;0,ROUND(tb_rechnungen[[#This Row],[Steuer]]/tb_rechnungen[[#This Row],[Netto]],2),"")</f>
        <v/>
      </c>
    </row>
    <row r="88" hidden="1">
      <c r="A88" s="26" t="n">
        <v>45720</v>
      </c>
      <c r="B88" s="27" t="inlineStr">
        <is>
          <t>PSW Group</t>
        </is>
      </c>
      <c r="C88" s="28" t="inlineStr">
        <is>
          <t>RG12507140</t>
        </is>
      </c>
      <c r="D88" s="28" t="inlineStr">
        <is>
          <t>E</t>
        </is>
      </c>
      <c r="E88" s="27" t="inlineStr">
        <is>
          <t>Sectigo New Silver (InstantSSL) FED</t>
        </is>
      </c>
      <c r="F88" s="29" t="n">
        <v>75.63</v>
      </c>
      <c r="G88" s="29" t="n">
        <v>90</v>
      </c>
      <c r="H88" s="30" t="inlineStr">
        <is>
          <t>X</t>
        </is>
      </c>
      <c r="I88" s="30" t="inlineStr">
        <is>
          <t>A</t>
        </is>
      </c>
      <c r="J88" s="31" t="inlineStr">
        <is>
          <t>M</t>
        </is>
      </c>
      <c r="K88" s="50" t="n"/>
      <c r="L88" s="50" t="n"/>
      <c r="M88" s="49" t="n"/>
      <c r="N88" s="31" t="n"/>
      <c r="O88" s="12">
        <f>IF(tb_rechnungen[[#This Row],[Re-Datum]]&gt;0,MONTH(tb_rechnungen[[#This Row],[Re-Datum]]),"")</f>
        <v/>
      </c>
      <c r="P88" s="13">
        <f>IF(tb_rechnungen[[#This Row],[Re-Datum]]&gt;0,YEAR(tb_rechnungen[[#This Row],[Re-Datum]]),"")</f>
        <v/>
      </c>
      <c r="Q88" s="19">
        <f>IF(tb_rechnungen[[#This Row],[Brutto]]&lt;&gt;0,tb_rechnungen[[#This Row],[Brutto]]-tb_rechnungen[[#This Row],[Netto]],"")</f>
        <v/>
      </c>
      <c r="R88" s="37">
        <f>IF(tb_rechnungen[[#This Row],[Netto]]&lt;&gt;0,ROUND(tb_rechnungen[[#This Row],[Steuer]]/tb_rechnungen[[#This Row],[Netto]],2),"")</f>
        <v/>
      </c>
    </row>
    <row r="89" hidden="1">
      <c r="A89" s="26" t="n">
        <v>45738</v>
      </c>
      <c r="B89" s="27" t="inlineStr">
        <is>
          <t>MCPaper</t>
        </is>
      </c>
      <c r="C89" s="28" t="inlineStr">
        <is>
          <t>R83575</t>
        </is>
      </c>
      <c r="D89" s="28" t="inlineStr">
        <is>
          <t>K</t>
        </is>
      </c>
      <c r="E89" s="27" t="inlineStr">
        <is>
          <t>Abschiedskarte Frau DeLuca</t>
        </is>
      </c>
      <c r="F89" s="29" t="n">
        <v>2.51</v>
      </c>
      <c r="G89" s="29" t="n">
        <v>2.99</v>
      </c>
      <c r="H89" s="30" t="inlineStr">
        <is>
          <t>X</t>
        </is>
      </c>
      <c r="I89" s="30" t="inlineStr">
        <is>
          <t>A</t>
        </is>
      </c>
      <c r="J89" s="30" t="inlineStr">
        <is>
          <t>M</t>
        </is>
      </c>
      <c r="K89" s="50" t="n"/>
      <c r="L89" s="50" t="n"/>
      <c r="M89" s="67" t="n"/>
      <c r="N89" s="30" t="inlineStr">
        <is>
          <t>FX</t>
        </is>
      </c>
      <c r="O89" s="12">
        <f>IF(tb_rechnungen[[#This Row],[Re-Datum]]&gt;0,MONTH(tb_rechnungen[[#This Row],[Re-Datum]]),"")</f>
        <v/>
      </c>
      <c r="P89" s="13">
        <f>IF(tb_rechnungen[[#This Row],[Re-Datum]]&gt;0,YEAR(tb_rechnungen[[#This Row],[Re-Datum]]),"")</f>
        <v/>
      </c>
      <c r="Q89" s="19">
        <f>IF(tb_rechnungen[[#This Row],[Brutto]]&lt;&gt;0,tb_rechnungen[[#This Row],[Brutto]]-tb_rechnungen[[#This Row],[Netto]],"")</f>
        <v/>
      </c>
      <c r="R89" s="37">
        <f>IF(tb_rechnungen[[#This Row],[Netto]]&lt;&gt;0,ROUND(tb_rechnungen[[#This Row],[Steuer]]/tb_rechnungen[[#This Row],[Netto]],2),"")</f>
        <v/>
      </c>
    </row>
    <row r="90" hidden="1">
      <c r="A90" s="26" t="n">
        <v>45716</v>
      </c>
      <c r="B90" s="27" t="inlineStr">
        <is>
          <t xml:space="preserve">DTS </t>
        </is>
      </c>
      <c r="C90" s="28" t="inlineStr">
        <is>
          <t>R11520805</t>
        </is>
      </c>
      <c r="D90" s="28" t="inlineStr">
        <is>
          <t>K</t>
        </is>
      </c>
      <c r="E90" s="27" t="inlineStr">
        <is>
          <t>SIP Tk-Anlage CentrexX</t>
        </is>
      </c>
      <c r="F90" s="29" t="n">
        <v>33.54</v>
      </c>
      <c r="G90" s="29" t="n">
        <v>39.91</v>
      </c>
      <c r="H90" s="30" t="inlineStr">
        <is>
          <t>X</t>
        </is>
      </c>
      <c r="I90" s="30" t="inlineStr">
        <is>
          <t>Z</t>
        </is>
      </c>
      <c r="J90" s="31" t="inlineStr">
        <is>
          <t>M</t>
        </is>
      </c>
      <c r="K90" s="50" t="n"/>
      <c r="L90" s="50" t="n"/>
      <c r="M90" s="49" t="n"/>
      <c r="N90" s="31" t="n"/>
      <c r="O90" s="12">
        <f>IF(tb_rechnungen[[#This Row],[Re-Datum]]&gt;0,MONTH(tb_rechnungen[[#This Row],[Re-Datum]]),"")</f>
        <v/>
      </c>
      <c r="P90" s="13">
        <f>IF(tb_rechnungen[[#This Row],[Re-Datum]]&gt;0,YEAR(tb_rechnungen[[#This Row],[Re-Datum]]),"")</f>
        <v/>
      </c>
      <c r="Q90" s="19">
        <f>IF(tb_rechnungen[[#This Row],[Brutto]]&lt;&gt;0,tb_rechnungen[[#This Row],[Brutto]]-tb_rechnungen[[#This Row],[Netto]],"")</f>
        <v/>
      </c>
      <c r="R90" s="37">
        <f>IF(tb_rechnungen[[#This Row],[Netto]]&lt;&gt;0,ROUND(tb_rechnungen[[#This Row],[Steuer]]/tb_rechnungen[[#This Row],[Netto]],2),"")</f>
        <v/>
      </c>
    </row>
    <row r="91" hidden="1">
      <c r="A91" s="26" t="n">
        <v>45721</v>
      </c>
      <c r="B91" s="27" t="inlineStr">
        <is>
          <t>API</t>
        </is>
      </c>
      <c r="C91" s="28" t="inlineStr">
        <is>
          <t>13731318</t>
        </is>
      </c>
      <c r="D91" s="28" t="inlineStr">
        <is>
          <t>E</t>
        </is>
      </c>
      <c r="E91" s="27" t="inlineStr">
        <is>
          <t>Lexware buchhaltung plus Renewal Download (VEH)</t>
        </is>
      </c>
      <c r="F91" s="52" t="n">
        <v>250.82</v>
      </c>
      <c r="G91" s="52" t="n">
        <v>298.48</v>
      </c>
      <c r="H91" s="30" t="inlineStr">
        <is>
          <t>X</t>
        </is>
      </c>
      <c r="I91" s="30" t="inlineStr">
        <is>
          <t>A</t>
        </is>
      </c>
      <c r="J91" s="31" t="inlineStr">
        <is>
          <t>M</t>
        </is>
      </c>
      <c r="K91" s="50" t="n"/>
      <c r="L91" s="50" t="n"/>
      <c r="M91" s="49" t="n"/>
      <c r="N91" s="31" t="n"/>
      <c r="O91" s="12">
        <f>IF(tb_rechnungen[[#This Row],[Re-Datum]]&gt;0,MONTH(tb_rechnungen[[#This Row],[Re-Datum]]),"")</f>
        <v/>
      </c>
      <c r="P91" s="13">
        <f>IF(tb_rechnungen[[#This Row],[Re-Datum]]&gt;0,YEAR(tb_rechnungen[[#This Row],[Re-Datum]]),"")</f>
        <v/>
      </c>
      <c r="Q91" s="19">
        <f>IF(tb_rechnungen[[#This Row],[Brutto]]&lt;&gt;0,tb_rechnungen[[#This Row],[Brutto]]-tb_rechnungen[[#This Row],[Netto]],"")</f>
        <v/>
      </c>
      <c r="R91" s="37">
        <f>IF(tb_rechnungen[[#This Row],[Netto]]&lt;&gt;0,ROUND(tb_rechnungen[[#This Row],[Steuer]]/tb_rechnungen[[#This Row],[Netto]],2),"")</f>
        <v/>
      </c>
    </row>
    <row r="92" hidden="1">
      <c r="A92" s="26" t="n">
        <v>45722</v>
      </c>
      <c r="B92" s="27" t="inlineStr">
        <is>
          <t>Elovade Ebertlang</t>
        </is>
      </c>
      <c r="C92" s="28" t="inlineStr">
        <is>
          <t>1132888</t>
        </is>
      </c>
      <c r="D92" s="28" t="inlineStr">
        <is>
          <t>E</t>
        </is>
      </c>
      <c r="E92" s="27" t="inlineStr">
        <is>
          <t>Mailstore Lizenz WFB 60 User</t>
        </is>
      </c>
      <c r="F92" s="29" t="n">
        <v>243.6</v>
      </c>
      <c r="G92" s="29" t="n">
        <v>289.88</v>
      </c>
      <c r="H92" s="30" t="inlineStr">
        <is>
          <t>X</t>
        </is>
      </c>
      <c r="I92" s="30" t="inlineStr">
        <is>
          <t>A</t>
        </is>
      </c>
      <c r="J92" s="31" t="inlineStr">
        <is>
          <t>M</t>
        </is>
      </c>
      <c r="K92" s="50" t="n"/>
      <c r="L92" s="50" t="n"/>
      <c r="M92" s="49" t="n"/>
      <c r="N92" s="31" t="n"/>
      <c r="O92" s="12">
        <f>IF(tb_rechnungen[[#This Row],[Re-Datum]]&gt;0,MONTH(tb_rechnungen[[#This Row],[Re-Datum]]),"")</f>
        <v/>
      </c>
      <c r="P92" s="13">
        <f>IF(tb_rechnungen[[#This Row],[Re-Datum]]&gt;0,YEAR(tb_rechnungen[[#This Row],[Re-Datum]]),"")</f>
        <v/>
      </c>
      <c r="Q92" s="19">
        <f>IF(tb_rechnungen[[#This Row],[Brutto]]&lt;&gt;0,tb_rechnungen[[#This Row],[Brutto]]-tb_rechnungen[[#This Row],[Netto]],"")</f>
        <v/>
      </c>
      <c r="R92" s="37">
        <f>IF(tb_rechnungen[[#This Row],[Netto]]&lt;&gt;0,ROUND(tb_rechnungen[[#This Row],[Steuer]]/tb_rechnungen[[#This Row],[Netto]],2),"")</f>
        <v/>
      </c>
    </row>
    <row r="93" hidden="1">
      <c r="A93" s="26" t="n">
        <v>45726</v>
      </c>
      <c r="B93" s="27" t="inlineStr">
        <is>
          <t>Ratiokontakt</t>
        </is>
      </c>
      <c r="C93" s="28" t="inlineStr">
        <is>
          <t>R10870827</t>
        </is>
      </c>
      <c r="D93" s="28" t="inlineStr">
        <is>
          <t>E</t>
        </is>
      </c>
      <c r="E93" s="27" t="inlineStr">
        <is>
          <t>Ratiokontakt bis 16.03.2025</t>
        </is>
      </c>
      <c r="F93" s="29" t="n">
        <v>72.62</v>
      </c>
      <c r="G93" s="29" t="n">
        <v>86.42</v>
      </c>
      <c r="H93" s="30" t="inlineStr">
        <is>
          <t>X</t>
        </is>
      </c>
      <c r="I93" s="30" t="inlineStr">
        <is>
          <t>Z</t>
        </is>
      </c>
      <c r="J93" s="31" t="inlineStr">
        <is>
          <t>M</t>
        </is>
      </c>
      <c r="K93" s="50" t="n"/>
      <c r="L93" s="50" t="n"/>
      <c r="M93" s="49" t="n"/>
      <c r="N93" s="31" t="n"/>
      <c r="O93" s="12">
        <f>IF(tb_rechnungen[[#This Row],[Re-Datum]]&gt;0,MONTH(tb_rechnungen[[#This Row],[Re-Datum]]),"")</f>
        <v/>
      </c>
      <c r="P93" s="13">
        <f>IF(tb_rechnungen[[#This Row],[Re-Datum]]&gt;0,YEAR(tb_rechnungen[[#This Row],[Re-Datum]]),"")</f>
        <v/>
      </c>
      <c r="Q93" s="19">
        <f>IF(tb_rechnungen[[#This Row],[Brutto]]&lt;&gt;0,tb_rechnungen[[#This Row],[Brutto]]-tb_rechnungen[[#This Row],[Netto]],"")</f>
        <v/>
      </c>
      <c r="R93" s="37">
        <f>IF(tb_rechnungen[[#This Row],[Netto]]&lt;&gt;0,ROUND(tb_rechnungen[[#This Row],[Steuer]]/tb_rechnungen[[#This Row],[Netto]],2),"")</f>
        <v/>
      </c>
    </row>
    <row r="94" hidden="1">
      <c r="A94" s="26" t="n">
        <v>45726</v>
      </c>
      <c r="B94" s="27" t="inlineStr">
        <is>
          <t>Wortmann</t>
        </is>
      </c>
      <c r="C94" s="28" t="inlineStr">
        <is>
          <t>DR8521545</t>
        </is>
      </c>
      <c r="D94" s="28" t="inlineStr">
        <is>
          <t>E</t>
        </is>
      </c>
      <c r="E94" s="27" t="inlineStr">
        <is>
          <t>Terra-Cloud Backup</t>
        </is>
      </c>
      <c r="F94" s="29" t="n">
        <v>9.9</v>
      </c>
      <c r="G94" s="29" t="n">
        <v>11.78</v>
      </c>
      <c r="H94" s="30" t="inlineStr">
        <is>
          <t>X</t>
        </is>
      </c>
      <c r="I94" s="30" t="inlineStr">
        <is>
          <t>Z</t>
        </is>
      </c>
      <c r="J94" s="31" t="inlineStr">
        <is>
          <t>M</t>
        </is>
      </c>
      <c r="K94" s="50" t="n"/>
      <c r="L94" s="50" t="n"/>
      <c r="M94" s="49" t="n"/>
      <c r="N94" s="31" t="n"/>
      <c r="O94" s="12">
        <f>IF(tb_rechnungen[[#This Row],[Re-Datum]]&gt;0,MONTH(tb_rechnungen[[#This Row],[Re-Datum]]),"")</f>
        <v/>
      </c>
      <c r="P94" s="13">
        <f>IF(tb_rechnungen[[#This Row],[Re-Datum]]&gt;0,YEAR(tb_rechnungen[[#This Row],[Re-Datum]]),"")</f>
        <v/>
      </c>
      <c r="Q94" s="19">
        <f>IF(tb_rechnungen[[#This Row],[Brutto]]&lt;&gt;0,tb_rechnungen[[#This Row],[Brutto]]-tb_rechnungen[[#This Row],[Netto]],"")</f>
        <v/>
      </c>
      <c r="R94" s="37">
        <f>IF(tb_rechnungen[[#This Row],[Netto]]&lt;&gt;0,ROUND(tb_rechnungen[[#This Row],[Steuer]]/tb_rechnungen[[#This Row],[Netto]],2),"")</f>
        <v/>
      </c>
    </row>
    <row r="95" hidden="1">
      <c r="A95" s="26" t="n">
        <v>45722</v>
      </c>
      <c r="B95" s="27" t="inlineStr">
        <is>
          <t>TWL</t>
        </is>
      </c>
      <c r="C95" s="56" t="inlineStr">
        <is>
          <t>RG300001549567</t>
        </is>
      </c>
      <c r="D95" s="56" t="inlineStr">
        <is>
          <t>K</t>
        </is>
      </c>
      <c r="E95" s="27" t="inlineStr">
        <is>
          <t>Schlussrechnung Gutschrift</t>
        </is>
      </c>
      <c r="F95" s="29" t="n">
        <v>-281.34</v>
      </c>
      <c r="G95" s="29" t="n">
        <v>-334.79</v>
      </c>
      <c r="H95" s="30" t="inlineStr">
        <is>
          <t>X</t>
        </is>
      </c>
      <c r="I95" s="30" t="inlineStr">
        <is>
          <t>A</t>
        </is>
      </c>
      <c r="J95" s="31" t="inlineStr">
        <is>
          <t>M</t>
        </is>
      </c>
      <c r="K95" s="50" t="n"/>
      <c r="L95" s="50" t="n"/>
      <c r="M95" s="49" t="n"/>
      <c r="N95" s="31" t="n"/>
      <c r="O95" s="12">
        <f>IF(tb_rechnungen[[#This Row],[Re-Datum]]&gt;0,MONTH(tb_rechnungen[[#This Row],[Re-Datum]]),"")</f>
        <v/>
      </c>
      <c r="P95" s="13">
        <f>IF(tb_rechnungen[[#This Row],[Re-Datum]]&gt;0,YEAR(tb_rechnungen[[#This Row],[Re-Datum]]),"")</f>
        <v/>
      </c>
      <c r="Q95" s="19">
        <f>IF(tb_rechnungen[[#This Row],[Brutto]]&lt;&gt;0,tb_rechnungen[[#This Row],[Brutto]]-tb_rechnungen[[#This Row],[Netto]],"")</f>
        <v/>
      </c>
      <c r="R95" s="37">
        <f>IF(tb_rechnungen[[#This Row],[Netto]]&lt;&gt;0,ROUND(tb_rechnungen[[#This Row],[Steuer]]/tb_rechnungen[[#This Row],[Netto]],2),"")</f>
        <v/>
      </c>
    </row>
    <row r="96" hidden="1">
      <c r="A96" s="26" t="n">
        <v>45727</v>
      </c>
      <c r="B96" s="27" t="inlineStr">
        <is>
          <t>Elovade Ebertlang</t>
        </is>
      </c>
      <c r="C96" s="28" t="inlineStr">
        <is>
          <t>R1132448</t>
        </is>
      </c>
      <c r="D96" s="28" t="inlineStr">
        <is>
          <t>E</t>
        </is>
      </c>
      <c r="E96" s="27" t="inlineStr">
        <is>
          <t xml:space="preserve">Mailstore Lizenz HAU 10 User 2 Jahre </t>
        </is>
      </c>
      <c r="F96" s="29" t="n">
        <v>140.4</v>
      </c>
      <c r="G96" s="29" t="n">
        <v>167.08</v>
      </c>
      <c r="H96" s="30" t="inlineStr">
        <is>
          <t>X</t>
        </is>
      </c>
      <c r="I96" s="30" t="inlineStr">
        <is>
          <t>A</t>
        </is>
      </c>
      <c r="J96" s="31" t="inlineStr">
        <is>
          <t>M</t>
        </is>
      </c>
      <c r="K96" s="50" t="n"/>
      <c r="L96" s="50" t="n"/>
      <c r="M96" s="49" t="n"/>
      <c r="N96" s="31" t="n"/>
      <c r="O96" s="12">
        <f>IF(tb_rechnungen[[#This Row],[Re-Datum]]&gt;0,MONTH(tb_rechnungen[[#This Row],[Re-Datum]]),"")</f>
        <v/>
      </c>
      <c r="P96" s="13">
        <f>IF(tb_rechnungen[[#This Row],[Re-Datum]]&gt;0,YEAR(tb_rechnungen[[#This Row],[Re-Datum]]),"")</f>
        <v/>
      </c>
      <c r="Q96" s="19">
        <f>IF(tb_rechnungen[[#This Row],[Brutto]]&lt;&gt;0,tb_rechnungen[[#This Row],[Brutto]]-tb_rechnungen[[#This Row],[Netto]],"")</f>
        <v/>
      </c>
      <c r="R96" s="37">
        <f>IF(tb_rechnungen[[#This Row],[Netto]]&lt;&gt;0,ROUND(tb_rechnungen[[#This Row],[Steuer]]/tb_rechnungen[[#This Row],[Netto]],2),"")</f>
        <v/>
      </c>
    </row>
    <row r="97" hidden="1">
      <c r="A97" s="26" t="n">
        <v>45728</v>
      </c>
      <c r="B97" s="27" t="inlineStr">
        <is>
          <t>Sage</t>
        </is>
      </c>
      <c r="C97" s="28" t="inlineStr">
        <is>
          <t>2025-1137542</t>
        </is>
      </c>
      <c r="D97" s="28" t="inlineStr">
        <is>
          <t>K</t>
        </is>
      </c>
      <c r="E97" s="27" t="inlineStr">
        <is>
          <t>Sage Business Cloud Lohnabrechnung</t>
        </is>
      </c>
      <c r="F97" s="29" t="n">
        <v>33.35</v>
      </c>
      <c r="G97" s="29" t="n">
        <v>39.69</v>
      </c>
      <c r="H97" s="30" t="inlineStr">
        <is>
          <t>X</t>
        </is>
      </c>
      <c r="I97" s="30" t="inlineStr">
        <is>
          <t>A</t>
        </is>
      </c>
      <c r="J97" s="31" t="inlineStr">
        <is>
          <t>M</t>
        </is>
      </c>
      <c r="K97" s="50" t="n"/>
      <c r="L97" s="50" t="n"/>
      <c r="M97" s="49" t="n"/>
      <c r="N97" s="31" t="n"/>
      <c r="O97" s="12">
        <f>IF(tb_rechnungen[[#This Row],[Re-Datum]]&gt;0,MONTH(tb_rechnungen[[#This Row],[Re-Datum]]),"")</f>
        <v/>
      </c>
      <c r="P97" s="13">
        <f>IF(tb_rechnungen[[#This Row],[Re-Datum]]&gt;0,YEAR(tb_rechnungen[[#This Row],[Re-Datum]]),"")</f>
        <v/>
      </c>
      <c r="Q97" s="19">
        <f>IF(tb_rechnungen[[#This Row],[Brutto]]&lt;&gt;0,tb_rechnungen[[#This Row],[Brutto]]-tb_rechnungen[[#This Row],[Netto]],"")</f>
        <v/>
      </c>
      <c r="R97" s="37">
        <f>IF(tb_rechnungen[[#This Row],[Netto]]&lt;&gt;0,ROUND(tb_rechnungen[[#This Row],[Steuer]]/tb_rechnungen[[#This Row],[Netto]],2),"")</f>
        <v/>
      </c>
    </row>
    <row r="98" hidden="1">
      <c r="A98" s="26" t="n">
        <v>45728</v>
      </c>
      <c r="B98" s="27" t="inlineStr">
        <is>
          <t>Telekom</t>
        </is>
      </c>
      <c r="C98" s="28" t="inlineStr">
        <is>
          <t>RG 34370597000551</t>
        </is>
      </c>
      <c r="D98" s="28" t="inlineStr">
        <is>
          <t>K</t>
        </is>
      </c>
      <c r="E98" s="27" t="inlineStr">
        <is>
          <t>Schulze mobil Februar</t>
        </is>
      </c>
      <c r="F98" s="29" t="n">
        <v>12.89</v>
      </c>
      <c r="G98" s="29" t="n">
        <v>15.34</v>
      </c>
      <c r="H98" s="30" t="inlineStr">
        <is>
          <t>X</t>
        </is>
      </c>
      <c r="I98" s="30" t="inlineStr">
        <is>
          <t>A</t>
        </is>
      </c>
      <c r="J98" s="31" t="inlineStr">
        <is>
          <t>M</t>
        </is>
      </c>
      <c r="K98" s="50" t="n"/>
      <c r="L98" s="50" t="n"/>
      <c r="M98" s="49" t="n"/>
      <c r="N98" s="31" t="n"/>
      <c r="O98" s="12">
        <f>IF(tb_rechnungen[[#This Row],[Re-Datum]]&gt;0,MONTH(tb_rechnungen[[#This Row],[Re-Datum]]),"")</f>
        <v/>
      </c>
      <c r="P98" s="13">
        <f>IF(tb_rechnungen[[#This Row],[Re-Datum]]&gt;0,YEAR(tb_rechnungen[[#This Row],[Re-Datum]]),"")</f>
        <v/>
      </c>
      <c r="Q98" s="19">
        <f>IF(tb_rechnungen[[#This Row],[Brutto]]&lt;&gt;0,tb_rechnungen[[#This Row],[Brutto]]-tb_rechnungen[[#This Row],[Netto]],"")</f>
        <v/>
      </c>
      <c r="R98" s="37">
        <f>IF(tb_rechnungen[[#This Row],[Netto]]&lt;&gt;0,ROUND(tb_rechnungen[[#This Row],[Steuer]]/tb_rechnungen[[#This Row],[Netto]],2),"")</f>
        <v/>
      </c>
    </row>
    <row r="99" hidden="1">
      <c r="A99" s="26" t="n">
        <v>45733</v>
      </c>
      <c r="B99" s="27" t="inlineStr">
        <is>
          <t>Telekom</t>
        </is>
      </c>
      <c r="C99" s="28" t="inlineStr">
        <is>
          <t>RG 7755615146</t>
        </is>
      </c>
      <c r="D99" s="28" t="inlineStr">
        <is>
          <t>K</t>
        </is>
      </c>
      <c r="E99" s="27" t="inlineStr">
        <is>
          <t>Schulze  März</t>
        </is>
      </c>
      <c r="F99" s="29" t="n">
        <v>33.57</v>
      </c>
      <c r="G99" s="29" t="n">
        <v>39.95</v>
      </c>
      <c r="H99" s="30" t="inlineStr">
        <is>
          <t>X</t>
        </is>
      </c>
      <c r="I99" s="30" t="inlineStr">
        <is>
          <t>A</t>
        </is>
      </c>
      <c r="J99" s="31" t="inlineStr">
        <is>
          <t>M</t>
        </is>
      </c>
      <c r="K99" s="50" t="n"/>
      <c r="L99" s="50" t="n"/>
      <c r="M99" s="49" t="n"/>
      <c r="N99" s="31" t="n"/>
      <c r="O99" s="12">
        <f>IF(tb_rechnungen[[#This Row],[Re-Datum]]&gt;0,MONTH(tb_rechnungen[[#This Row],[Re-Datum]]),"")</f>
        <v/>
      </c>
      <c r="P99" s="13">
        <f>IF(tb_rechnungen[[#This Row],[Re-Datum]]&gt;0,YEAR(tb_rechnungen[[#This Row],[Re-Datum]]),"")</f>
        <v/>
      </c>
      <c r="Q99" s="19">
        <f>IF(tb_rechnungen[[#This Row],[Brutto]]&lt;&gt;0,tb_rechnungen[[#This Row],[Brutto]]-tb_rechnungen[[#This Row],[Netto]],"")</f>
        <v/>
      </c>
      <c r="R99" s="37">
        <f>IF(tb_rechnungen[[#This Row],[Netto]]&lt;&gt;0,ROUND(tb_rechnungen[[#This Row],[Steuer]]/tb_rechnungen[[#This Row],[Netto]],2),"")</f>
        <v/>
      </c>
    </row>
    <row r="100" hidden="1">
      <c r="A100" s="26" t="n">
        <v>45734</v>
      </c>
      <c r="B100" s="27" t="inlineStr">
        <is>
          <t>wolkesicher</t>
        </is>
      </c>
      <c r="C100" s="28" t="n">
        <v>381122</v>
      </c>
      <c r="D100" s="28" t="inlineStr">
        <is>
          <t>K</t>
        </is>
      </c>
      <c r="E100" s="28" t="inlineStr">
        <is>
          <t xml:space="preserve">Premium Silber (C) - uhde.wolkesicher.de </t>
        </is>
      </c>
      <c r="F100" s="29" t="n">
        <v>4.19</v>
      </c>
      <c r="G100" s="29" t="n">
        <v>4.99</v>
      </c>
      <c r="H100" s="30" t="inlineStr">
        <is>
          <t>X</t>
        </is>
      </c>
      <c r="I100" s="30" t="inlineStr">
        <is>
          <t>A</t>
        </is>
      </c>
      <c r="J100" s="31" t="inlineStr">
        <is>
          <t>M</t>
        </is>
      </c>
      <c r="K100" s="50" t="n"/>
      <c r="L100" s="50" t="n"/>
      <c r="M100" s="49" t="n"/>
      <c r="N100" s="31" t="n"/>
      <c r="O100" s="12">
        <f>IF(tb_rechnungen[[#This Row],[Re-Datum]]&gt;0,MONTH(tb_rechnungen[[#This Row],[Re-Datum]]),"")</f>
        <v/>
      </c>
      <c r="P100" s="13">
        <f>IF(tb_rechnungen[[#This Row],[Re-Datum]]&gt;0,YEAR(tb_rechnungen[[#This Row],[Re-Datum]]),"")</f>
        <v/>
      </c>
      <c r="Q100" s="19">
        <f>IF(tb_rechnungen[[#This Row],[Brutto]]&lt;&gt;0,tb_rechnungen[[#This Row],[Brutto]]-tb_rechnungen[[#This Row],[Netto]],"")</f>
        <v/>
      </c>
      <c r="R100" s="37">
        <f>IF(tb_rechnungen[[#This Row],[Netto]]&lt;&gt;0,ROUND(tb_rechnungen[[#This Row],[Steuer]]/tb_rechnungen[[#This Row],[Netto]],2),"")</f>
        <v/>
      </c>
    </row>
    <row r="101" hidden="1">
      <c r="A101" s="26" t="n">
        <v>45733</v>
      </c>
      <c r="B101" s="27" t="inlineStr">
        <is>
          <t>Jacob Elektronik</t>
        </is>
      </c>
      <c r="C101" s="28" t="inlineStr">
        <is>
          <t>SRE9977150</t>
        </is>
      </c>
      <c r="D101" s="28" t="inlineStr">
        <is>
          <t>E</t>
        </is>
      </c>
      <c r="E101" s="27" t="inlineStr">
        <is>
          <t>OKI Tonerpatrone (Bemer)</t>
        </is>
      </c>
      <c r="F101" s="29" t="n">
        <v>171.76</v>
      </c>
      <c r="G101" s="29" t="n">
        <v>204.39</v>
      </c>
      <c r="H101" s="30" t="inlineStr">
        <is>
          <t>X</t>
        </is>
      </c>
      <c r="I101" s="30" t="inlineStr">
        <is>
          <t>Z</t>
        </is>
      </c>
      <c r="J101" s="31" t="inlineStr">
        <is>
          <t>M</t>
        </is>
      </c>
      <c r="K101" s="50" t="n"/>
      <c r="L101" s="50" t="n"/>
      <c r="M101" s="49" t="n"/>
      <c r="N101" s="31" t="n"/>
      <c r="O101" s="12">
        <f>IF(tb_rechnungen[[#This Row],[Re-Datum]]&gt;0,MONTH(tb_rechnungen[[#This Row],[Re-Datum]]),"")</f>
        <v/>
      </c>
      <c r="P101" s="13">
        <f>IF(tb_rechnungen[[#This Row],[Re-Datum]]&gt;0,YEAR(tb_rechnungen[[#This Row],[Re-Datum]]),"")</f>
        <v/>
      </c>
      <c r="Q101" s="19">
        <f>IF(tb_rechnungen[[#This Row],[Brutto]]&lt;&gt;0,tb_rechnungen[[#This Row],[Brutto]]-tb_rechnungen[[#This Row],[Netto]],"")</f>
        <v/>
      </c>
      <c r="R101" s="37">
        <f>IF(tb_rechnungen[[#This Row],[Netto]]&lt;&gt;0,ROUND(tb_rechnungen[[#This Row],[Steuer]]/tb_rechnungen[[#This Row],[Netto]],2),"")</f>
        <v/>
      </c>
    </row>
    <row r="102" hidden="1">
      <c r="A102" s="26" t="n">
        <v>45734</v>
      </c>
      <c r="B102" s="27" t="inlineStr">
        <is>
          <t>Systeam</t>
        </is>
      </c>
      <c r="C102" s="28" t="inlineStr">
        <is>
          <t>50127281</t>
        </is>
      </c>
      <c r="D102" s="28" t="inlineStr">
        <is>
          <t>E</t>
        </is>
      </c>
      <c r="E102" s="27" t="inlineStr">
        <is>
          <t>HP Dockingstation (GZI)</t>
        </is>
      </c>
      <c r="F102" s="29" t="n">
        <v>206.2</v>
      </c>
      <c r="G102" s="29" t="n">
        <v>245.38</v>
      </c>
      <c r="H102" s="30" t="inlineStr">
        <is>
          <t>X</t>
        </is>
      </c>
      <c r="I102" s="30" t="inlineStr">
        <is>
          <t>Z</t>
        </is>
      </c>
      <c r="J102" s="31" t="inlineStr">
        <is>
          <t>M</t>
        </is>
      </c>
      <c r="K102" s="50" t="n"/>
      <c r="L102" s="50" t="n"/>
      <c r="M102" s="49" t="n"/>
      <c r="N102" s="31" t="n"/>
      <c r="O102" s="12">
        <f>IF(tb_rechnungen[[#This Row],[Re-Datum]]&gt;0,MONTH(tb_rechnungen[[#This Row],[Re-Datum]]),"")</f>
        <v/>
      </c>
      <c r="P102" s="13">
        <f>IF(tb_rechnungen[[#This Row],[Re-Datum]]&gt;0,YEAR(tb_rechnungen[[#This Row],[Re-Datum]]),"")</f>
        <v/>
      </c>
      <c r="Q102" s="19">
        <f>IF(tb_rechnungen[[#This Row],[Brutto]]&lt;&gt;0,tb_rechnungen[[#This Row],[Brutto]]-tb_rechnungen[[#This Row],[Netto]],"")</f>
        <v/>
      </c>
      <c r="R102" s="37">
        <f>IF(tb_rechnungen[[#This Row],[Netto]]&lt;&gt;0,ROUND(tb_rechnungen[[#This Row],[Steuer]]/tb_rechnungen[[#This Row],[Netto]],2),"")</f>
        <v/>
      </c>
    </row>
    <row r="103" hidden="1">
      <c r="A103" s="26" t="n">
        <v>45735</v>
      </c>
      <c r="B103" s="27" t="inlineStr">
        <is>
          <t>Systeam</t>
        </is>
      </c>
      <c r="C103" s="28" t="inlineStr">
        <is>
          <t>50128767</t>
        </is>
      </c>
      <c r="D103" s="28" t="inlineStr">
        <is>
          <t>E</t>
        </is>
      </c>
      <c r="E103" s="27" t="inlineStr">
        <is>
          <t>UBIQUITISwitch (Mut)</t>
        </is>
      </c>
      <c r="F103" s="29" t="n">
        <v>353.69</v>
      </c>
      <c r="G103" s="29" t="n">
        <v>420.89</v>
      </c>
      <c r="H103" s="30" t="inlineStr">
        <is>
          <t>X</t>
        </is>
      </c>
      <c r="I103" s="30" t="inlineStr">
        <is>
          <t>Z</t>
        </is>
      </c>
      <c r="J103" s="31" t="inlineStr">
        <is>
          <t>M</t>
        </is>
      </c>
      <c r="K103" s="50" t="n"/>
      <c r="L103" s="50" t="n"/>
      <c r="M103" s="49" t="n"/>
      <c r="N103" s="31" t="n"/>
      <c r="O103" s="12">
        <f>IF(tb_rechnungen[[#This Row],[Re-Datum]]&gt;0,MONTH(tb_rechnungen[[#This Row],[Re-Datum]]),"")</f>
        <v/>
      </c>
      <c r="P103" s="13">
        <f>IF(tb_rechnungen[[#This Row],[Re-Datum]]&gt;0,YEAR(tb_rechnungen[[#This Row],[Re-Datum]]),"")</f>
        <v/>
      </c>
      <c r="Q103" s="19">
        <f>IF(tb_rechnungen[[#This Row],[Brutto]]&lt;&gt;0,tb_rechnungen[[#This Row],[Brutto]]-tb_rechnungen[[#This Row],[Netto]],"")</f>
        <v/>
      </c>
      <c r="R103" s="37">
        <f>IF(tb_rechnungen[[#This Row],[Netto]]&lt;&gt;0,ROUND(tb_rechnungen[[#This Row],[Steuer]]/tb_rechnungen[[#This Row],[Netto]],2),"")</f>
        <v/>
      </c>
    </row>
    <row r="104" hidden="1">
      <c r="A104" s="26" t="n">
        <v>45670</v>
      </c>
      <c r="B104" s="27" t="inlineStr">
        <is>
          <t>Heise</t>
        </is>
      </c>
      <c r="C104" s="28" t="inlineStr">
        <is>
          <t>2503980312903</t>
        </is>
      </c>
      <c r="D104" s="28" t="inlineStr">
        <is>
          <t>K</t>
        </is>
      </c>
      <c r="E104" s="27" t="inlineStr">
        <is>
          <t>c't digital</t>
        </is>
      </c>
      <c r="F104" s="29" t="n">
        <v>143.36</v>
      </c>
      <c r="G104" s="29" t="n">
        <v>153.4</v>
      </c>
      <c r="H104" s="30" t="inlineStr">
        <is>
          <t>X</t>
        </is>
      </c>
      <c r="I104" s="30" t="inlineStr">
        <is>
          <t>Z</t>
        </is>
      </c>
      <c r="J104" s="31" t="inlineStr">
        <is>
          <t>M</t>
        </is>
      </c>
      <c r="K104" s="50" t="n"/>
      <c r="L104" s="50" t="n"/>
      <c r="M104" s="49" t="n"/>
      <c r="N104" s="31" t="n"/>
      <c r="O104" s="12">
        <f>IF(tb_rechnungen[[#This Row],[Re-Datum]]&gt;0,MONTH(tb_rechnungen[[#This Row],[Re-Datum]]),"")</f>
        <v/>
      </c>
      <c r="P104" s="13">
        <f>IF(tb_rechnungen[[#This Row],[Re-Datum]]&gt;0,YEAR(tb_rechnungen[[#This Row],[Re-Datum]]),"")</f>
        <v/>
      </c>
      <c r="Q104" s="19">
        <f>IF(tb_rechnungen[[#This Row],[Brutto]]&lt;&gt;0,tb_rechnungen[[#This Row],[Brutto]]-tb_rechnungen[[#This Row],[Netto]],"")</f>
        <v/>
      </c>
      <c r="R104" s="37">
        <f>IF(tb_rechnungen[[#This Row],[Netto]]&lt;&gt;0,ROUND(tb_rechnungen[[#This Row],[Steuer]]/tb_rechnungen[[#This Row],[Netto]],2),"")</f>
        <v/>
      </c>
    </row>
    <row r="105" hidden="1">
      <c r="A105" s="26" t="n">
        <v>45735</v>
      </c>
      <c r="B105" s="27" t="inlineStr">
        <is>
          <t>ALSO</t>
        </is>
      </c>
      <c r="C105" s="28" t="inlineStr">
        <is>
          <t>973932209</t>
        </is>
      </c>
      <c r="D105" s="28" t="inlineStr">
        <is>
          <t>E</t>
        </is>
      </c>
      <c r="E105" s="27" t="inlineStr">
        <is>
          <t>LENOVO ThinkPad E16 (GV Mut)</t>
        </is>
      </c>
      <c r="F105" s="29" t="n">
        <v>1356.84</v>
      </c>
      <c r="G105" s="29" t="n">
        <v>1614.64</v>
      </c>
      <c r="H105" s="30" t="inlineStr">
        <is>
          <t>X</t>
        </is>
      </c>
      <c r="I105" s="30" t="inlineStr">
        <is>
          <t>Z</t>
        </is>
      </c>
      <c r="J105" s="31" t="inlineStr">
        <is>
          <t>M</t>
        </is>
      </c>
      <c r="K105" s="50" t="n"/>
      <c r="L105" s="50" t="n"/>
      <c r="M105" s="49" t="n"/>
      <c r="N105" s="31" t="n"/>
      <c r="O105" s="12">
        <f>IF(tb_rechnungen[[#This Row],[Re-Datum]]&gt;0,MONTH(tb_rechnungen[[#This Row],[Re-Datum]]),"")</f>
        <v/>
      </c>
      <c r="P105" s="13">
        <f>IF(tb_rechnungen[[#This Row],[Re-Datum]]&gt;0,YEAR(tb_rechnungen[[#This Row],[Re-Datum]]),"")</f>
        <v/>
      </c>
      <c r="Q105" s="19">
        <f>IF(tb_rechnungen[[#This Row],[Brutto]]&lt;&gt;0,tb_rechnungen[[#This Row],[Brutto]]-tb_rechnungen[[#This Row],[Netto]],"")</f>
        <v/>
      </c>
      <c r="R105" s="37">
        <f>IF(tb_rechnungen[[#This Row],[Netto]]&lt;&gt;0,ROUND(tb_rechnungen[[#This Row],[Steuer]]/tb_rechnungen[[#This Row],[Netto]],2),"")</f>
        <v/>
      </c>
    </row>
    <row r="106" hidden="1">
      <c r="A106" s="26" t="n">
        <v>45736</v>
      </c>
      <c r="B106" s="27" t="inlineStr">
        <is>
          <t>Telekom</t>
        </is>
      </c>
      <c r="C106" s="28" t="inlineStr">
        <is>
          <t>775 854 5797</t>
        </is>
      </c>
      <c r="D106" s="28" t="inlineStr">
        <is>
          <t>K</t>
        </is>
      </c>
      <c r="E106" s="27" t="inlineStr">
        <is>
          <t>Festnetz Faszl</t>
        </is>
      </c>
      <c r="F106" s="29" t="n">
        <v>37.77</v>
      </c>
      <c r="G106" s="29" t="n">
        <v>44.95</v>
      </c>
      <c r="H106" s="30" t="inlineStr">
        <is>
          <t>X</t>
        </is>
      </c>
      <c r="I106" s="30" t="inlineStr">
        <is>
          <t>A</t>
        </is>
      </c>
      <c r="J106" s="31" t="inlineStr">
        <is>
          <t>M</t>
        </is>
      </c>
      <c r="K106" s="50" t="n"/>
      <c r="L106" s="50" t="n"/>
      <c r="M106" s="49" t="n"/>
      <c r="N106" s="31" t="n"/>
      <c r="O106" s="12">
        <f>IF(tb_rechnungen[[#This Row],[Re-Datum]]&gt;0,MONTH(tb_rechnungen[[#This Row],[Re-Datum]]),"")</f>
        <v/>
      </c>
      <c r="P106" s="13">
        <f>IF(tb_rechnungen[[#This Row],[Re-Datum]]&gt;0,YEAR(tb_rechnungen[[#This Row],[Re-Datum]]),"")</f>
        <v/>
      </c>
      <c r="Q106" s="19">
        <f>IF(tb_rechnungen[[#This Row],[Brutto]]&lt;&gt;0,tb_rechnungen[[#This Row],[Brutto]]-tb_rechnungen[[#This Row],[Netto]],"")</f>
        <v/>
      </c>
      <c r="R106" s="37">
        <f>IF(tb_rechnungen[[#This Row],[Netto]]&lt;&gt;0,ROUND(tb_rechnungen[[#This Row],[Steuer]]/tb_rechnungen[[#This Row],[Netto]],2),"")</f>
        <v/>
      </c>
    </row>
    <row r="107" hidden="1">
      <c r="A107" s="26" t="n">
        <v>45736</v>
      </c>
      <c r="B107" s="27" t="inlineStr">
        <is>
          <t>Systeam</t>
        </is>
      </c>
      <c r="C107" s="28" t="inlineStr">
        <is>
          <t>50131228</t>
        </is>
      </c>
      <c r="D107" s="28" t="inlineStr">
        <is>
          <t>E</t>
        </is>
      </c>
      <c r="E107" s="27" t="inlineStr">
        <is>
          <t>UBIQUITIAPBE9300 (GV Mut)</t>
        </is>
      </c>
      <c r="F107" s="29" t="n">
        <v>508.01</v>
      </c>
      <c r="G107" s="29" t="n">
        <v>604.53</v>
      </c>
      <c r="H107" s="30" t="inlineStr">
        <is>
          <t>X</t>
        </is>
      </c>
      <c r="I107" s="30" t="inlineStr">
        <is>
          <t>Z</t>
        </is>
      </c>
      <c r="J107" s="31" t="inlineStr">
        <is>
          <t>M</t>
        </is>
      </c>
      <c r="K107" s="50" t="n"/>
      <c r="L107" s="50" t="n"/>
      <c r="M107" s="49" t="n"/>
      <c r="N107" s="31" t="n"/>
      <c r="O107" s="12">
        <f>IF(tb_rechnungen[[#This Row],[Re-Datum]]&gt;0,MONTH(tb_rechnungen[[#This Row],[Re-Datum]]),"")</f>
        <v/>
      </c>
      <c r="P107" s="13">
        <f>IF(tb_rechnungen[[#This Row],[Re-Datum]]&gt;0,YEAR(tb_rechnungen[[#This Row],[Re-Datum]]),"")</f>
        <v/>
      </c>
      <c r="Q107" s="19">
        <f>IF(tb_rechnungen[[#This Row],[Brutto]]&lt;&gt;0,tb_rechnungen[[#This Row],[Brutto]]-tb_rechnungen[[#This Row],[Netto]],"")</f>
        <v/>
      </c>
      <c r="R107" s="37">
        <f>IF(tb_rechnungen[[#This Row],[Netto]]&lt;&gt;0,ROUND(tb_rechnungen[[#This Row],[Steuer]]/tb_rechnungen[[#This Row],[Netto]],2),"")</f>
        <v/>
      </c>
    </row>
    <row r="108" hidden="1">
      <c r="A108" s="26" t="n">
        <v>45736</v>
      </c>
      <c r="B108" s="27" t="inlineStr">
        <is>
          <t>Jacob Elektronik</t>
        </is>
      </c>
      <c r="C108" s="28" t="inlineStr">
        <is>
          <t>SRE9985143</t>
        </is>
      </c>
      <c r="D108" s="28" t="inlineStr">
        <is>
          <t>E</t>
        </is>
      </c>
      <c r="E108" s="27" t="inlineStr">
        <is>
          <t>HP EliteBook 860 G11 (GZI)</t>
        </is>
      </c>
      <c r="F108" s="29" t="n">
        <v>1133.08</v>
      </c>
      <c r="G108" s="29" t="n">
        <v>1348.37</v>
      </c>
      <c r="H108" s="30" t="inlineStr">
        <is>
          <t>X</t>
        </is>
      </c>
      <c r="I108" s="30" t="inlineStr">
        <is>
          <t>Z</t>
        </is>
      </c>
      <c r="J108" s="31" t="inlineStr">
        <is>
          <t>M</t>
        </is>
      </c>
      <c r="K108" s="50" t="n"/>
      <c r="L108" s="50" t="n"/>
      <c r="M108" s="49" t="n"/>
      <c r="N108" s="31" t="n"/>
      <c r="O108" s="12">
        <f>IF(tb_rechnungen[[#This Row],[Re-Datum]]&gt;0,MONTH(tb_rechnungen[[#This Row],[Re-Datum]]),"")</f>
        <v/>
      </c>
      <c r="P108" s="13">
        <f>IF(tb_rechnungen[[#This Row],[Re-Datum]]&gt;0,YEAR(tb_rechnungen[[#This Row],[Re-Datum]]),"")</f>
        <v/>
      </c>
      <c r="Q108" s="19">
        <f>IF(tb_rechnungen[[#This Row],[Brutto]]&lt;&gt;0,tb_rechnungen[[#This Row],[Brutto]]-tb_rechnungen[[#This Row],[Netto]],"")</f>
        <v/>
      </c>
      <c r="R108" s="37">
        <f>IF(tb_rechnungen[[#This Row],[Netto]]&lt;&gt;0,ROUND(tb_rechnungen[[#This Row],[Steuer]]/tb_rechnungen[[#This Row],[Netto]],2),"")</f>
        <v/>
      </c>
    </row>
    <row r="109" hidden="1">
      <c r="A109" s="26" t="n">
        <v>45731</v>
      </c>
      <c r="B109" s="27" t="inlineStr">
        <is>
          <t>DKV</t>
        </is>
      </c>
      <c r="C109" s="28" t="inlineStr">
        <is>
          <t>25/642569330/001</t>
        </is>
      </c>
      <c r="D109" s="28" t="inlineStr">
        <is>
          <t>K</t>
        </is>
      </c>
      <c r="E109" s="27" t="inlineStr">
        <is>
          <t>März</t>
        </is>
      </c>
      <c r="F109" s="29" t="n">
        <v>64.22</v>
      </c>
      <c r="G109" s="29" t="n">
        <v>76.42</v>
      </c>
      <c r="H109" s="30" t="inlineStr">
        <is>
          <t>X</t>
        </is>
      </c>
      <c r="I109" s="30" t="inlineStr">
        <is>
          <t>A</t>
        </is>
      </c>
      <c r="J109" s="31" t="inlineStr">
        <is>
          <t>M</t>
        </is>
      </c>
      <c r="K109" s="50" t="n"/>
      <c r="L109" s="50" t="n"/>
      <c r="M109" s="49" t="n"/>
      <c r="N109" s="31" t="n"/>
      <c r="O109" s="12">
        <f>IF(tb_rechnungen[[#This Row],[Re-Datum]]&gt;0,MONTH(tb_rechnungen[[#This Row],[Re-Datum]]),"")</f>
        <v/>
      </c>
      <c r="P109" s="13">
        <f>IF(tb_rechnungen[[#This Row],[Re-Datum]]&gt;0,YEAR(tb_rechnungen[[#This Row],[Re-Datum]]),"")</f>
        <v/>
      </c>
      <c r="Q109" s="19">
        <f>IF(tb_rechnungen[[#This Row],[Brutto]]&lt;&gt;0,tb_rechnungen[[#This Row],[Brutto]]-tb_rechnungen[[#This Row],[Netto]],"")</f>
        <v/>
      </c>
      <c r="R109" s="37">
        <f>IF(tb_rechnungen[[#This Row],[Netto]]&lt;&gt;0,ROUND(tb_rechnungen[[#This Row],[Steuer]]/tb_rechnungen[[#This Row],[Netto]],2),"")</f>
        <v/>
      </c>
    </row>
    <row r="110" hidden="1">
      <c r="A110" s="26" t="n">
        <v>45741</v>
      </c>
      <c r="B110" s="27" t="inlineStr">
        <is>
          <t>Elovade Ebertlang</t>
        </is>
      </c>
      <c r="C110" s="28" t="inlineStr">
        <is>
          <t>1135474</t>
        </is>
      </c>
      <c r="D110" s="28" t="inlineStr">
        <is>
          <t>E</t>
        </is>
      </c>
      <c r="E110" s="27" t="inlineStr">
        <is>
          <t>MailStore-Lizenzen (VG Enkenbach-Alsenborn)</t>
        </is>
      </c>
      <c r="F110" s="29" t="n">
        <v>2071.5</v>
      </c>
      <c r="G110" s="29" t="n">
        <v>2465.09</v>
      </c>
      <c r="H110" s="30" t="inlineStr">
        <is>
          <t>X</t>
        </is>
      </c>
      <c r="I110" s="30" t="inlineStr">
        <is>
          <t>A</t>
        </is>
      </c>
      <c r="J110" s="31" t="inlineStr">
        <is>
          <t>M</t>
        </is>
      </c>
      <c r="K110" s="50" t="n"/>
      <c r="L110" s="50" t="n"/>
      <c r="M110" s="49" t="n"/>
      <c r="N110" s="31" t="n"/>
      <c r="O110" s="12">
        <f>IF(tb_rechnungen[[#This Row],[Re-Datum]]&gt;0,MONTH(tb_rechnungen[[#This Row],[Re-Datum]]),"")</f>
        <v/>
      </c>
      <c r="P110" s="13">
        <f>IF(tb_rechnungen[[#This Row],[Re-Datum]]&gt;0,YEAR(tb_rechnungen[[#This Row],[Re-Datum]]),"")</f>
        <v/>
      </c>
      <c r="Q110" s="19">
        <f>IF(tb_rechnungen[[#This Row],[Brutto]]&lt;&gt;0,tb_rechnungen[[#This Row],[Brutto]]-tb_rechnungen[[#This Row],[Netto]],"")</f>
        <v/>
      </c>
      <c r="R110" s="37">
        <f>IF(tb_rechnungen[[#This Row],[Netto]]&lt;&gt;0,ROUND(tb_rechnungen[[#This Row],[Steuer]]/tb_rechnungen[[#This Row],[Netto]],2),"")</f>
        <v/>
      </c>
    </row>
    <row r="111" hidden="1">
      <c r="A111" s="26" t="n">
        <v>45743</v>
      </c>
      <c r="B111" s="27" t="inlineStr">
        <is>
          <t>Telekom</t>
        </is>
      </c>
      <c r="C111" s="28" t="inlineStr">
        <is>
          <t>776 232 4106</t>
        </is>
      </c>
      <c r="D111" s="28" t="inlineStr">
        <is>
          <t>K</t>
        </is>
      </c>
      <c r="E111" s="27" t="inlineStr">
        <is>
          <t>Festnetz Büro April</t>
        </is>
      </c>
      <c r="F111" s="29" t="n">
        <v>39.9</v>
      </c>
      <c r="G111" s="29" t="n">
        <v>47.48</v>
      </c>
      <c r="H111" s="30" t="inlineStr">
        <is>
          <t>X</t>
        </is>
      </c>
      <c r="I111" s="30" t="inlineStr">
        <is>
          <t>A</t>
        </is>
      </c>
      <c r="J111" s="31" t="inlineStr">
        <is>
          <t>M</t>
        </is>
      </c>
      <c r="K111" s="50" t="n"/>
      <c r="L111" s="50" t="n"/>
      <c r="M111" s="49" t="n"/>
      <c r="N111" s="31" t="n"/>
      <c r="O111" s="12">
        <f>IF(tb_rechnungen[[#This Row],[Re-Datum]]&gt;0,MONTH(tb_rechnungen[[#This Row],[Re-Datum]]),"")</f>
        <v/>
      </c>
      <c r="P111" s="13">
        <f>IF(tb_rechnungen[[#This Row],[Re-Datum]]&gt;0,YEAR(tb_rechnungen[[#This Row],[Re-Datum]]),"")</f>
        <v/>
      </c>
      <c r="Q111" s="19">
        <f>IF(tb_rechnungen[[#This Row],[Brutto]]&lt;&gt;0,tb_rechnungen[[#This Row],[Brutto]]-tb_rechnungen[[#This Row],[Netto]],"")</f>
        <v/>
      </c>
      <c r="R111" s="37">
        <f>IF(tb_rechnungen[[#This Row],[Netto]]&lt;&gt;0,ROUND(tb_rechnungen[[#This Row],[Steuer]]/tb_rechnungen[[#This Row],[Netto]],2),"")</f>
        <v/>
      </c>
    </row>
    <row r="112" hidden="1">
      <c r="A112" s="26" t="n">
        <v>45747</v>
      </c>
      <c r="B112" s="27" t="inlineStr">
        <is>
          <t>Blumen Skorbene</t>
        </is>
      </c>
      <c r="C112" s="28" t="n"/>
      <c r="D112" s="28" t="inlineStr">
        <is>
          <t>K1</t>
        </is>
      </c>
      <c r="E112" s="27" t="inlineStr">
        <is>
          <t>Abschliedstrauss Frau DeLuca</t>
        </is>
      </c>
      <c r="F112" s="29" t="n">
        <v>28.04</v>
      </c>
      <c r="G112" s="29" t="n">
        <v>30</v>
      </c>
      <c r="H112" s="30" t="inlineStr">
        <is>
          <t>X</t>
        </is>
      </c>
      <c r="I112" s="30" t="inlineStr">
        <is>
          <t>A</t>
        </is>
      </c>
      <c r="J112" s="31" t="inlineStr">
        <is>
          <t>M</t>
        </is>
      </c>
      <c r="K112" s="50" t="n"/>
      <c r="L112" s="50" t="n"/>
      <c r="M112" s="49" t="n"/>
      <c r="N112" s="31" t="inlineStr">
        <is>
          <t>FX</t>
        </is>
      </c>
      <c r="O112" s="12">
        <f>IF(tb_rechnungen[[#This Row],[Re-Datum]]&gt;0,MONTH(tb_rechnungen[[#This Row],[Re-Datum]]),"")</f>
        <v/>
      </c>
      <c r="P112" s="13">
        <f>IF(tb_rechnungen[[#This Row],[Re-Datum]]&gt;0,YEAR(tb_rechnungen[[#This Row],[Re-Datum]]),"")</f>
        <v/>
      </c>
      <c r="Q112" s="19">
        <f>IF(tb_rechnungen[[#This Row],[Brutto]]&lt;&gt;0,tb_rechnungen[[#This Row],[Brutto]]-tb_rechnungen[[#This Row],[Netto]],"")</f>
        <v/>
      </c>
      <c r="R112" s="37">
        <f>IF(tb_rechnungen[[#This Row],[Netto]]&lt;&gt;0,ROUND(tb_rechnungen[[#This Row],[Steuer]]/tb_rechnungen[[#This Row],[Netto]],2),"")</f>
        <v/>
      </c>
    </row>
    <row r="113" hidden="1">
      <c r="A113" s="26" t="n">
        <v>45747</v>
      </c>
      <c r="B113" s="27" t="inlineStr">
        <is>
          <t>ALSO</t>
        </is>
      </c>
      <c r="C113" s="28" t="inlineStr">
        <is>
          <t>R974051248</t>
        </is>
      </c>
      <c r="D113" s="28" t="inlineStr">
        <is>
          <t>E</t>
        </is>
      </c>
      <c r="E113" s="27" t="inlineStr">
        <is>
          <t>Office 365 MUT</t>
        </is>
      </c>
      <c r="F113" s="29" t="n">
        <v>111.82</v>
      </c>
      <c r="G113" s="29" t="n">
        <v>133.07</v>
      </c>
      <c r="H113" s="30" t="inlineStr">
        <is>
          <t>X</t>
        </is>
      </c>
      <c r="I113" s="30" t="inlineStr">
        <is>
          <t>Z</t>
        </is>
      </c>
      <c r="J113" s="31" t="inlineStr">
        <is>
          <t>M</t>
        </is>
      </c>
      <c r="K113" s="50" t="n"/>
      <c r="L113" s="50" t="n"/>
      <c r="M113" s="49" t="n"/>
      <c r="N113" s="31" t="n"/>
      <c r="O113" s="12">
        <f>IF(tb_rechnungen[[#This Row],[Re-Datum]]&gt;0,MONTH(tb_rechnungen[[#This Row],[Re-Datum]]),"")</f>
        <v/>
      </c>
      <c r="P113" s="13">
        <f>IF(tb_rechnungen[[#This Row],[Re-Datum]]&gt;0,YEAR(tb_rechnungen[[#This Row],[Re-Datum]]),"")</f>
        <v/>
      </c>
      <c r="Q113" s="19">
        <f>IF(tb_rechnungen[[#This Row],[Brutto]]&lt;&gt;0,tb_rechnungen[[#This Row],[Brutto]]-tb_rechnungen[[#This Row],[Netto]],"")</f>
        <v/>
      </c>
      <c r="R113" s="37">
        <f>IF(tb_rechnungen[[#This Row],[Netto]]&lt;&gt;0,ROUND(tb_rechnungen[[#This Row],[Steuer]]/tb_rechnungen[[#This Row],[Netto]],2),"")</f>
        <v/>
      </c>
    </row>
    <row r="114" hidden="1">
      <c r="A114" s="26" t="n">
        <v>45747</v>
      </c>
      <c r="B114" s="27" t="inlineStr">
        <is>
          <t>ALSO</t>
        </is>
      </c>
      <c r="C114" s="28" t="inlineStr">
        <is>
          <t>R974051249</t>
        </is>
      </c>
      <c r="D114" s="28" t="inlineStr">
        <is>
          <t>E</t>
        </is>
      </c>
      <c r="E114" s="27" t="inlineStr">
        <is>
          <t>Office 365 VEH</t>
        </is>
      </c>
      <c r="F114" s="29" t="n">
        <v>700.88</v>
      </c>
      <c r="G114" s="29" t="n">
        <v>834.05</v>
      </c>
      <c r="H114" s="30" t="inlineStr">
        <is>
          <t>X</t>
        </is>
      </c>
      <c r="I114" s="30" t="inlineStr">
        <is>
          <t>Z</t>
        </is>
      </c>
      <c r="J114" s="31" t="inlineStr">
        <is>
          <t>M</t>
        </is>
      </c>
      <c r="K114" s="50" t="n"/>
      <c r="L114" s="50" t="n"/>
      <c r="M114" s="49" t="n"/>
      <c r="N114" s="31" t="n"/>
      <c r="O114" s="12">
        <f>IF(tb_rechnungen[[#This Row],[Re-Datum]]&gt;0,MONTH(tb_rechnungen[[#This Row],[Re-Datum]]),"")</f>
        <v/>
      </c>
      <c r="P114" s="13">
        <f>IF(tb_rechnungen[[#This Row],[Re-Datum]]&gt;0,YEAR(tb_rechnungen[[#This Row],[Re-Datum]]),"")</f>
        <v/>
      </c>
      <c r="Q114" s="19">
        <f>IF(tb_rechnungen[[#This Row],[Brutto]]&lt;&gt;0,tb_rechnungen[[#This Row],[Brutto]]-tb_rechnungen[[#This Row],[Netto]],"")</f>
        <v/>
      </c>
      <c r="R114" s="37">
        <f>IF(tb_rechnungen[[#This Row],[Netto]]&lt;&gt;0,ROUND(tb_rechnungen[[#This Row],[Steuer]]/tb_rechnungen[[#This Row],[Netto]],2),"")</f>
        <v/>
      </c>
    </row>
    <row r="115" hidden="1">
      <c r="A115" s="26" t="n">
        <v>45747</v>
      </c>
      <c r="B115" s="27" t="inlineStr">
        <is>
          <t>DTS NFON</t>
        </is>
      </c>
      <c r="C115" s="28" t="inlineStr">
        <is>
          <t>25-13-064781</t>
        </is>
      </c>
      <c r="D115" s="28" t="inlineStr">
        <is>
          <t>K</t>
        </is>
      </c>
      <c r="E115" s="27" t="inlineStr">
        <is>
          <t>Centrexx3 03/2025</t>
        </is>
      </c>
      <c r="F115" s="29" t="n">
        <v>3.01</v>
      </c>
      <c r="G115" s="29" t="n">
        <v>3.59</v>
      </c>
      <c r="H115" s="30" t="inlineStr">
        <is>
          <t>X</t>
        </is>
      </c>
      <c r="I115" s="30" t="inlineStr">
        <is>
          <t>A</t>
        </is>
      </c>
      <c r="J115" s="31" t="inlineStr">
        <is>
          <t>M</t>
        </is>
      </c>
      <c r="K115" s="50" t="n"/>
      <c r="L115" s="50" t="n"/>
      <c r="M115" s="49" t="n"/>
      <c r="N115" s="31" t="n"/>
      <c r="O115" s="12">
        <f>IF(tb_rechnungen[[#This Row],[Re-Datum]]&gt;0,MONTH(tb_rechnungen[[#This Row],[Re-Datum]]),"")</f>
        <v/>
      </c>
      <c r="P115" s="13">
        <f>IF(tb_rechnungen[[#This Row],[Re-Datum]]&gt;0,YEAR(tb_rechnungen[[#This Row],[Re-Datum]]),"")</f>
        <v/>
      </c>
      <c r="Q115" s="19">
        <f>IF(tb_rechnungen[[#This Row],[Brutto]]&lt;&gt;0,tb_rechnungen[[#This Row],[Brutto]]-tb_rechnungen[[#This Row],[Netto]],"")</f>
        <v/>
      </c>
      <c r="R115" s="37">
        <f>IF(tb_rechnungen[[#This Row],[Netto]]&lt;&gt;0,ROUND(tb_rechnungen[[#This Row],[Steuer]]/tb_rechnungen[[#This Row],[Netto]],2),"")</f>
        <v/>
      </c>
    </row>
    <row r="116" hidden="1">
      <c r="A116" s="26" t="n">
        <v>45747</v>
      </c>
      <c r="B116" s="27" t="inlineStr">
        <is>
          <t>DTS</t>
        </is>
      </c>
      <c r="C116" s="28" t="inlineStr">
        <is>
          <t>R11537749</t>
        </is>
      </c>
      <c r="D116" s="28" t="inlineStr">
        <is>
          <t>K</t>
        </is>
      </c>
      <c r="E116" s="27" t="inlineStr">
        <is>
          <t>Centrrexx2 03/2025</t>
        </is>
      </c>
      <c r="F116" s="29" t="n">
        <v>28.07</v>
      </c>
      <c r="G116" s="29" t="n">
        <v>33.4</v>
      </c>
      <c r="H116" s="30" t="inlineStr">
        <is>
          <t>X</t>
        </is>
      </c>
      <c r="I116" s="30" t="inlineStr">
        <is>
          <t>A</t>
        </is>
      </c>
      <c r="J116" s="31" t="inlineStr">
        <is>
          <t>M</t>
        </is>
      </c>
      <c r="K116" s="50" t="n"/>
      <c r="L116" s="50" t="n"/>
      <c r="M116" s="49" t="n"/>
      <c r="N116" s="31" t="n"/>
      <c r="O116" s="12">
        <f>IF(tb_rechnungen[[#This Row],[Re-Datum]]&gt;0,MONTH(tb_rechnungen[[#This Row],[Re-Datum]]),"")</f>
        <v/>
      </c>
      <c r="P116" s="13">
        <f>IF(tb_rechnungen[[#This Row],[Re-Datum]]&gt;0,YEAR(tb_rechnungen[[#This Row],[Re-Datum]]),"")</f>
        <v/>
      </c>
      <c r="Q116" s="19">
        <f>IF(tb_rechnungen[[#This Row],[Brutto]]&lt;&gt;0,tb_rechnungen[[#This Row],[Brutto]]-tb_rechnungen[[#This Row],[Netto]],"")</f>
        <v/>
      </c>
      <c r="R116" s="37">
        <f>IF(tb_rechnungen[[#This Row],[Netto]]&lt;&gt;0,ROUND(tb_rechnungen[[#This Row],[Steuer]]/tb_rechnungen[[#This Row],[Netto]],2),"")</f>
        <v/>
      </c>
    </row>
    <row r="117" hidden="1">
      <c r="A117" s="26" t="n">
        <v>45747</v>
      </c>
      <c r="B117" s="27" t="inlineStr">
        <is>
          <t>DKV</t>
        </is>
      </c>
      <c r="C117" s="57" t="inlineStr">
        <is>
          <t>25/642869272/001</t>
        </is>
      </c>
      <c r="D117" s="57" t="inlineStr">
        <is>
          <t>K</t>
        </is>
      </c>
      <c r="E117" s="27" t="inlineStr">
        <is>
          <t xml:space="preserve">Tanken </t>
        </is>
      </c>
      <c r="F117" s="29" t="n">
        <v>161.59</v>
      </c>
      <c r="G117" s="29" t="n">
        <v>192.29</v>
      </c>
      <c r="H117" s="30" t="inlineStr">
        <is>
          <t>X</t>
        </is>
      </c>
      <c r="I117" s="30" t="inlineStr">
        <is>
          <t>A</t>
        </is>
      </c>
      <c r="J117" s="31" t="inlineStr">
        <is>
          <t>M</t>
        </is>
      </c>
      <c r="K117" s="50" t="n"/>
      <c r="L117" s="50" t="n"/>
      <c r="M117" s="49" t="n"/>
      <c r="N117" s="31" t="n"/>
      <c r="O117" s="12">
        <f>IF(tb_rechnungen[[#This Row],[Re-Datum]]&gt;0,MONTH(tb_rechnungen[[#This Row],[Re-Datum]]),"")</f>
        <v/>
      </c>
      <c r="P117" s="13">
        <f>IF(tb_rechnungen[[#This Row],[Re-Datum]]&gt;0,YEAR(tb_rechnungen[[#This Row],[Re-Datum]]),"")</f>
        <v/>
      </c>
      <c r="Q117" s="19">
        <f>IF(tb_rechnungen[[#This Row],[Brutto]]&lt;&gt;0,tb_rechnungen[[#This Row],[Brutto]]-tb_rechnungen[[#This Row],[Netto]],"")</f>
        <v/>
      </c>
      <c r="R117" s="37">
        <f>IF(tb_rechnungen[[#This Row],[Netto]]&lt;&gt;0,ROUND(tb_rechnungen[[#This Row],[Steuer]]/tb_rechnungen[[#This Row],[Netto]],2),"")</f>
        <v/>
      </c>
    </row>
    <row r="118" hidden="1">
      <c r="A118" s="26" t="n">
        <v>45748</v>
      </c>
      <c r="B118" s="27" t="inlineStr">
        <is>
          <t>VW Leasing</t>
        </is>
      </c>
      <c r="C118" s="28" t="inlineStr">
        <is>
          <t>R10241671791</t>
        </is>
      </c>
      <c r="D118" s="28" t="inlineStr">
        <is>
          <t>K</t>
        </is>
      </c>
      <c r="E118" s="27" t="inlineStr">
        <is>
          <t>Service-Rate 04.2025</t>
        </is>
      </c>
      <c r="F118" s="29" t="n">
        <v>37.43</v>
      </c>
      <c r="G118" s="29" t="n">
        <v>44.54</v>
      </c>
      <c r="H118" s="30" t="inlineStr">
        <is>
          <t>X</t>
        </is>
      </c>
      <c r="I118" s="30" t="inlineStr">
        <is>
          <t>A</t>
        </is>
      </c>
      <c r="J118" s="31" t="inlineStr">
        <is>
          <t>M</t>
        </is>
      </c>
      <c r="K118" s="50" t="n"/>
      <c r="L118" s="50" t="n"/>
      <c r="M118" s="49" t="n"/>
      <c r="N118" s="31" t="n"/>
      <c r="O118" s="12">
        <f>IF(tb_rechnungen[[#This Row],[Re-Datum]]&gt;0,MONTH(tb_rechnungen[[#This Row],[Re-Datum]]),"")</f>
        <v/>
      </c>
      <c r="P118" s="13">
        <f>IF(tb_rechnungen[[#This Row],[Re-Datum]]&gt;0,YEAR(tb_rechnungen[[#This Row],[Re-Datum]]),"")</f>
        <v/>
      </c>
      <c r="Q118" s="19">
        <f>IF(tb_rechnungen[[#This Row],[Brutto]]&lt;&gt;0,tb_rechnungen[[#This Row],[Brutto]]-tb_rechnungen[[#This Row],[Netto]],"")</f>
        <v/>
      </c>
      <c r="R118" s="37">
        <f>IF(tb_rechnungen[[#This Row],[Netto]]&lt;&gt;0,ROUND(tb_rechnungen[[#This Row],[Steuer]]/tb_rechnungen[[#This Row],[Netto]],2),"")</f>
        <v/>
      </c>
    </row>
    <row r="119" hidden="1">
      <c r="A119" s="26" t="n">
        <v>45749</v>
      </c>
      <c r="B119" s="27" t="inlineStr">
        <is>
          <t>Haus&amp;Grund</t>
        </is>
      </c>
      <c r="C119" s="28" t="inlineStr">
        <is>
          <t>Miete 04/2025</t>
        </is>
      </c>
      <c r="D119" s="28" t="inlineStr">
        <is>
          <t>K</t>
        </is>
      </c>
      <c r="E119" s="27" t="inlineStr">
        <is>
          <t>Miete</t>
        </is>
      </c>
      <c r="F119" s="29" t="n">
        <v>225</v>
      </c>
      <c r="G119" s="29" t="n">
        <v>225</v>
      </c>
      <c r="H119" s="30" t="inlineStr">
        <is>
          <t>X</t>
        </is>
      </c>
      <c r="I119" s="30" t="inlineStr">
        <is>
          <t>D</t>
        </is>
      </c>
      <c r="J119" s="30" t="inlineStr">
        <is>
          <t>M</t>
        </is>
      </c>
      <c r="K119" s="50" t="n"/>
      <c r="L119" s="50" t="n"/>
      <c r="M119" s="49" t="n"/>
      <c r="N119" s="31" t="n"/>
      <c r="O119" s="12">
        <f>IF(tb_rechnungen[[#This Row],[Re-Datum]]&gt;0,MONTH(tb_rechnungen[[#This Row],[Re-Datum]]),"")</f>
        <v/>
      </c>
      <c r="P119" s="13">
        <f>IF(tb_rechnungen[[#This Row],[Re-Datum]]&gt;0,YEAR(tb_rechnungen[[#This Row],[Re-Datum]]),"")</f>
        <v/>
      </c>
      <c r="Q119" s="19">
        <f>IF(tb_rechnungen[[#This Row],[Brutto]]&lt;&gt;0,tb_rechnungen[[#This Row],[Brutto]]-tb_rechnungen[[#This Row],[Netto]],"")</f>
        <v/>
      </c>
      <c r="R119" s="37">
        <f>IF(tb_rechnungen[[#This Row],[Netto]]&lt;&gt;0,ROUND(tb_rechnungen[[#This Row],[Steuer]]/tb_rechnungen[[#This Row],[Netto]],2),"")</f>
        <v/>
      </c>
    </row>
    <row r="120" hidden="1">
      <c r="A120" s="26" t="n">
        <v>45750</v>
      </c>
      <c r="B120" s="27" t="inlineStr">
        <is>
          <t>Elovade Ebertlang</t>
        </is>
      </c>
      <c r="C120" s="28" t="inlineStr">
        <is>
          <t>R1141423</t>
        </is>
      </c>
      <c r="D120" s="28" t="inlineStr">
        <is>
          <t>E</t>
        </is>
      </c>
      <c r="E120" s="27" t="inlineStr">
        <is>
          <t>Mailstore 50 User Liz ENK bis 01.12.2027</t>
        </is>
      </c>
      <c r="F120" s="29" t="n">
        <v>1122</v>
      </c>
      <c r="G120" s="29" t="n">
        <v>1335.18</v>
      </c>
      <c r="H120" s="30" t="inlineStr">
        <is>
          <t>X</t>
        </is>
      </c>
      <c r="I120" s="30" t="inlineStr">
        <is>
          <t>A</t>
        </is>
      </c>
      <c r="J120" s="31" t="inlineStr">
        <is>
          <t>M</t>
        </is>
      </c>
      <c r="K120" s="50" t="n"/>
      <c r="L120" s="50" t="n"/>
      <c r="M120" s="49" t="n"/>
      <c r="N120" s="31" t="n"/>
      <c r="O120" s="12">
        <f>IF(tb_rechnungen[[#This Row],[Re-Datum]]&gt;0,MONTH(tb_rechnungen[[#This Row],[Re-Datum]]),"")</f>
        <v/>
      </c>
      <c r="P120" s="13">
        <f>IF(tb_rechnungen[[#This Row],[Re-Datum]]&gt;0,YEAR(tb_rechnungen[[#This Row],[Re-Datum]]),"")</f>
        <v/>
      </c>
      <c r="Q120" s="19">
        <f>IF(tb_rechnungen[[#This Row],[Brutto]]&lt;&gt;0,tb_rechnungen[[#This Row],[Brutto]]-tb_rechnungen[[#This Row],[Netto]],"")</f>
        <v/>
      </c>
      <c r="R120" s="37">
        <f>IF(tb_rechnungen[[#This Row],[Netto]]&lt;&gt;0,ROUND(tb_rechnungen[[#This Row],[Steuer]]/tb_rechnungen[[#This Row],[Netto]],2),"")</f>
        <v/>
      </c>
    </row>
    <row r="121" hidden="1">
      <c r="A121" s="26" t="n">
        <v>45750</v>
      </c>
      <c r="B121" s="27" t="inlineStr">
        <is>
          <t>Mixavox</t>
        </is>
      </c>
      <c r="C121" s="28" t="inlineStr">
        <is>
          <t>YqdTEJtRQaifsRg1wNES</t>
        </is>
      </c>
      <c r="D121" s="28" t="inlineStr">
        <is>
          <t>K1</t>
        </is>
      </c>
      <c r="E121" s="27" t="inlineStr">
        <is>
          <t>MP3-Datei für Centrexx3</t>
        </is>
      </c>
      <c r="F121" s="29" t="n">
        <v>7</v>
      </c>
      <c r="G121" s="29" t="n">
        <v>7</v>
      </c>
      <c r="H121" s="30" t="inlineStr">
        <is>
          <t>X</t>
        </is>
      </c>
      <c r="I121" s="30" t="inlineStr">
        <is>
          <t>A</t>
        </is>
      </c>
      <c r="J121" s="31" t="inlineStr">
        <is>
          <t>M</t>
        </is>
      </c>
      <c r="K121" s="50" t="n"/>
      <c r="L121" s="50" t="n"/>
      <c r="M121" s="49" t="n"/>
      <c r="N121" s="31" t="n"/>
      <c r="O121" s="12">
        <f>IF(tb_rechnungen[[#This Row],[Re-Datum]]&gt;0,MONTH(tb_rechnungen[[#This Row],[Re-Datum]]),"")</f>
        <v/>
      </c>
      <c r="P121" s="13">
        <f>IF(tb_rechnungen[[#This Row],[Re-Datum]]&gt;0,YEAR(tb_rechnungen[[#This Row],[Re-Datum]]),"")</f>
        <v/>
      </c>
      <c r="Q121" s="19">
        <f>IF(tb_rechnungen[[#This Row],[Brutto]]&lt;&gt;0,tb_rechnungen[[#This Row],[Brutto]]-tb_rechnungen[[#This Row],[Netto]],"")</f>
        <v/>
      </c>
      <c r="R121" s="37">
        <f>IF(tb_rechnungen[[#This Row],[Netto]]&lt;&gt;0,ROUND(tb_rechnungen[[#This Row],[Steuer]]/tb_rechnungen[[#This Row],[Netto]],2),"")</f>
        <v/>
      </c>
    </row>
    <row r="122" hidden="1">
      <c r="A122" s="26" t="n">
        <v>45750</v>
      </c>
      <c r="B122" s="27" t="inlineStr">
        <is>
          <t>Mixavox</t>
        </is>
      </c>
      <c r="C122" s="28" t="inlineStr">
        <is>
          <t>i6PLDhGxaeoLIRK5AukF</t>
        </is>
      </c>
      <c r="D122" s="28" t="inlineStr">
        <is>
          <t>K1</t>
        </is>
      </c>
      <c r="E122" s="27" t="inlineStr">
        <is>
          <t>MP3-Datei für Centrexx3</t>
        </is>
      </c>
      <c r="F122" s="29" t="n">
        <v>7</v>
      </c>
      <c r="G122" s="29" t="n">
        <v>7</v>
      </c>
      <c r="H122" s="30" t="inlineStr">
        <is>
          <t>X</t>
        </is>
      </c>
      <c r="I122" s="30" t="inlineStr">
        <is>
          <t>A</t>
        </is>
      </c>
      <c r="J122" s="31" t="inlineStr">
        <is>
          <t>M</t>
        </is>
      </c>
      <c r="K122" s="50" t="n"/>
      <c r="L122" s="50" t="n"/>
      <c r="M122" s="49" t="n"/>
      <c r="N122" s="31" t="n"/>
      <c r="O122" s="12">
        <f>IF(tb_rechnungen[[#This Row],[Re-Datum]]&gt;0,MONTH(tb_rechnungen[[#This Row],[Re-Datum]]),"")</f>
        <v/>
      </c>
      <c r="P122" s="13">
        <f>IF(tb_rechnungen[[#This Row],[Re-Datum]]&gt;0,YEAR(tb_rechnungen[[#This Row],[Re-Datum]]),"")</f>
        <v/>
      </c>
      <c r="Q122" s="19">
        <f>IF(tb_rechnungen[[#This Row],[Brutto]]&lt;&gt;0,tb_rechnungen[[#This Row],[Brutto]]-tb_rechnungen[[#This Row],[Netto]],"")</f>
        <v/>
      </c>
      <c r="R122" s="37">
        <f>IF(tb_rechnungen[[#This Row],[Netto]]&lt;&gt;0,ROUND(tb_rechnungen[[#This Row],[Steuer]]/tb_rechnungen[[#This Row],[Netto]],2),"")</f>
        <v/>
      </c>
    </row>
    <row r="123" hidden="1">
      <c r="A123" s="26" t="n">
        <v>45754</v>
      </c>
      <c r="B123" s="27" t="inlineStr">
        <is>
          <t>Wortmann</t>
        </is>
      </c>
      <c r="C123" s="28" t="inlineStr">
        <is>
          <t>DR8577258</t>
        </is>
      </c>
      <c r="D123" s="28" t="inlineStr">
        <is>
          <t>E</t>
        </is>
      </c>
      <c r="E123" s="27" t="inlineStr">
        <is>
          <t>Carbonite Backup VEH März</t>
        </is>
      </c>
      <c r="F123" s="29" t="n">
        <v>9.9</v>
      </c>
      <c r="G123" s="29" t="n">
        <v>11.78</v>
      </c>
      <c r="H123" s="30" t="inlineStr">
        <is>
          <t>X</t>
        </is>
      </c>
      <c r="I123" s="30" t="inlineStr">
        <is>
          <t>Z</t>
        </is>
      </c>
      <c r="J123" s="31" t="inlineStr">
        <is>
          <t>M</t>
        </is>
      </c>
      <c r="K123" s="50" t="n"/>
      <c r="L123" s="50" t="n"/>
      <c r="M123" s="49" t="n"/>
      <c r="N123" s="31" t="n"/>
      <c r="O123" s="12">
        <f>IF(tb_rechnungen[[#This Row],[Re-Datum]]&gt;0,MONTH(tb_rechnungen[[#This Row],[Re-Datum]]),"")</f>
        <v/>
      </c>
      <c r="P123" s="13">
        <f>IF(tb_rechnungen[[#This Row],[Re-Datum]]&gt;0,YEAR(tb_rechnungen[[#This Row],[Re-Datum]]),"")</f>
        <v/>
      </c>
      <c r="Q123" s="19">
        <f>IF(tb_rechnungen[[#This Row],[Brutto]]&lt;&gt;0,tb_rechnungen[[#This Row],[Brutto]]-tb_rechnungen[[#This Row],[Netto]],"")</f>
        <v/>
      </c>
      <c r="R123" s="37">
        <f>IF(tb_rechnungen[[#This Row],[Netto]]&lt;&gt;0,ROUND(tb_rechnungen[[#This Row],[Steuer]]/tb_rechnungen[[#This Row],[Netto]],2),"")</f>
        <v/>
      </c>
    </row>
    <row r="124" hidden="1">
      <c r="A124" s="26" t="n">
        <v>45755</v>
      </c>
      <c r="B124" s="27" t="inlineStr">
        <is>
          <t>Sage</t>
        </is>
      </c>
      <c r="C124" s="28" t="inlineStr">
        <is>
          <t>2025-1159858</t>
        </is>
      </c>
      <c r="D124" s="28" t="inlineStr">
        <is>
          <t>K</t>
        </is>
      </c>
      <c r="E124" s="27" t="inlineStr">
        <is>
          <t>Sage Business Cloud Lohnabrechnung &lt;=5 MA</t>
        </is>
      </c>
      <c r="F124" s="29" t="n">
        <v>27.2</v>
      </c>
      <c r="G124" s="29" t="n">
        <v>32.37</v>
      </c>
      <c r="H124" s="30" t="inlineStr">
        <is>
          <t>X</t>
        </is>
      </c>
      <c r="I124" s="30" t="inlineStr">
        <is>
          <t>A</t>
        </is>
      </c>
      <c r="J124" s="31" t="inlineStr">
        <is>
          <t>M</t>
        </is>
      </c>
      <c r="K124" s="50" t="n"/>
      <c r="L124" s="50" t="n"/>
      <c r="M124" s="49" t="n"/>
      <c r="N124" s="31" t="n"/>
      <c r="O124" s="12">
        <f>IF(tb_rechnungen[[#This Row],[Re-Datum]]&gt;0,MONTH(tb_rechnungen[[#This Row],[Re-Datum]]),"")</f>
        <v/>
      </c>
      <c r="P124" s="13">
        <f>IF(tb_rechnungen[[#This Row],[Re-Datum]]&gt;0,YEAR(tb_rechnungen[[#This Row],[Re-Datum]]),"")</f>
        <v/>
      </c>
      <c r="Q124" s="19">
        <f>IF(tb_rechnungen[[#This Row],[Brutto]]&lt;&gt;0,tb_rechnungen[[#This Row],[Brutto]]-tb_rechnungen[[#This Row],[Netto]],"")</f>
        <v/>
      </c>
      <c r="R124" s="37">
        <f>IF(tb_rechnungen[[#This Row],[Netto]]&lt;&gt;0,ROUND(tb_rechnungen[[#This Row],[Steuer]]/tb_rechnungen[[#This Row],[Netto]],2),"")</f>
        <v/>
      </c>
    </row>
    <row r="125" hidden="1">
      <c r="A125" s="26" t="n">
        <v>45755</v>
      </c>
      <c r="B125" s="27" t="inlineStr">
        <is>
          <t>API</t>
        </is>
      </c>
      <c r="C125" s="35" t="inlineStr">
        <is>
          <t>R13841863</t>
        </is>
      </c>
      <c r="D125" s="35" t="inlineStr">
        <is>
          <t>E</t>
        </is>
      </c>
      <c r="E125" s="27" t="inlineStr">
        <is>
          <t xml:space="preserve">Lexware business plus </t>
        </is>
      </c>
      <c r="F125" s="29" t="n">
        <v>331.73</v>
      </c>
      <c r="G125" s="29" t="n">
        <v>394.76</v>
      </c>
      <c r="H125" s="30" t="inlineStr">
        <is>
          <t>X</t>
        </is>
      </c>
      <c r="I125" s="30" t="inlineStr">
        <is>
          <t>Z</t>
        </is>
      </c>
      <c r="J125" s="31" t="inlineStr">
        <is>
          <t>M</t>
        </is>
      </c>
      <c r="K125" s="50" t="n"/>
      <c r="L125" s="50" t="n"/>
      <c r="M125" s="49" t="n"/>
      <c r="N125" s="31" t="n"/>
      <c r="O125" s="12">
        <f>IF(tb_rechnungen[[#This Row],[Re-Datum]]&gt;0,MONTH(tb_rechnungen[[#This Row],[Re-Datum]]),"")</f>
        <v/>
      </c>
      <c r="P125" s="13">
        <f>IF(tb_rechnungen[[#This Row],[Re-Datum]]&gt;0,YEAR(tb_rechnungen[[#This Row],[Re-Datum]]),"")</f>
        <v/>
      </c>
      <c r="Q125" s="19">
        <f>IF(tb_rechnungen[[#This Row],[Brutto]]&lt;&gt;0,tb_rechnungen[[#This Row],[Brutto]]-tb_rechnungen[[#This Row],[Netto]],"")</f>
        <v/>
      </c>
      <c r="R125" s="37">
        <f>IF(tb_rechnungen[[#This Row],[Netto]]&lt;&gt;0,ROUND(tb_rechnungen[[#This Row],[Steuer]]/tb_rechnungen[[#This Row],[Netto]],2),"")</f>
        <v/>
      </c>
    </row>
    <row r="126" hidden="1">
      <c r="A126" s="26" t="n">
        <v>45757</v>
      </c>
      <c r="B126" s="27" t="inlineStr">
        <is>
          <t>Hetzner</t>
        </is>
      </c>
      <c r="C126" s="28" t="inlineStr">
        <is>
          <t>R084000231227</t>
        </is>
      </c>
      <c r="D126" s="28" t="inlineStr">
        <is>
          <t>E</t>
        </is>
      </c>
      <c r="E126" s="27" t="inlineStr">
        <is>
          <t>FTP-Speicher GML 02-03/2025</t>
        </is>
      </c>
      <c r="F126" s="29" t="n">
        <v>6.38</v>
      </c>
      <c r="G126" s="29" t="n">
        <v>7.6</v>
      </c>
      <c r="H126" s="30" t="inlineStr">
        <is>
          <t>X</t>
        </is>
      </c>
      <c r="I126" s="30" t="inlineStr">
        <is>
          <t>A</t>
        </is>
      </c>
      <c r="J126" s="31" t="inlineStr">
        <is>
          <t>M</t>
        </is>
      </c>
      <c r="K126" s="50" t="n"/>
      <c r="L126" s="50" t="n"/>
      <c r="M126" s="49" t="n"/>
      <c r="N126" s="31" t="n"/>
      <c r="O126" s="12">
        <f>IF(tb_rechnungen[[#This Row],[Re-Datum]]&gt;0,MONTH(tb_rechnungen[[#This Row],[Re-Datum]]),"")</f>
        <v/>
      </c>
      <c r="P126" s="13">
        <f>IF(tb_rechnungen[[#This Row],[Re-Datum]]&gt;0,YEAR(tb_rechnungen[[#This Row],[Re-Datum]]),"")</f>
        <v/>
      </c>
      <c r="Q126" s="19">
        <f>IF(tb_rechnungen[[#This Row],[Brutto]]&lt;&gt;0,tb_rechnungen[[#This Row],[Brutto]]-tb_rechnungen[[#This Row],[Netto]],"")</f>
        <v/>
      </c>
      <c r="R126" s="37">
        <f>IF(tb_rechnungen[[#This Row],[Netto]]&lt;&gt;0,ROUND(tb_rechnungen[[#This Row],[Steuer]]/tb_rechnungen[[#This Row],[Netto]],2),"")</f>
        <v/>
      </c>
    </row>
    <row r="127" hidden="1">
      <c r="A127" s="26" t="n">
        <v>45757</v>
      </c>
      <c r="B127" s="27" t="inlineStr">
        <is>
          <t>Ratiokontakt</t>
        </is>
      </c>
      <c r="C127" s="28" t="inlineStr">
        <is>
          <t>R10873368</t>
        </is>
      </c>
      <c r="D127" s="28" t="inlineStr">
        <is>
          <t>E</t>
        </is>
      </c>
      <c r="E127" s="27" t="inlineStr">
        <is>
          <t>Resellerweb bis 16.04.2025</t>
        </is>
      </c>
      <c r="F127" s="29" t="n">
        <v>36.98</v>
      </c>
      <c r="G127" s="29" t="n">
        <v>44.01</v>
      </c>
      <c r="H127" s="30" t="inlineStr">
        <is>
          <t>X</t>
        </is>
      </c>
      <c r="I127" s="30" t="inlineStr">
        <is>
          <t>Z</t>
        </is>
      </c>
      <c r="J127" s="31" t="inlineStr">
        <is>
          <t>M</t>
        </is>
      </c>
      <c r="K127" s="50" t="n"/>
      <c r="L127" s="50" t="n"/>
      <c r="M127" s="49" t="n"/>
      <c r="N127" s="31" t="n"/>
      <c r="O127" s="12">
        <f>IF(tb_rechnungen[[#This Row],[Re-Datum]]&gt;0,MONTH(tb_rechnungen[[#This Row],[Re-Datum]]),"")</f>
        <v/>
      </c>
      <c r="P127" s="13">
        <f>IF(tb_rechnungen[[#This Row],[Re-Datum]]&gt;0,YEAR(tb_rechnungen[[#This Row],[Re-Datum]]),"")</f>
        <v/>
      </c>
      <c r="Q127" s="19">
        <f>IF(tb_rechnungen[[#This Row],[Brutto]]&lt;&gt;0,tb_rechnungen[[#This Row],[Brutto]]-tb_rechnungen[[#This Row],[Netto]],"")</f>
        <v/>
      </c>
      <c r="R127" s="37">
        <f>IF(tb_rechnungen[[#This Row],[Netto]]&lt;&gt;0,ROUND(tb_rechnungen[[#This Row],[Steuer]]/tb_rechnungen[[#This Row],[Netto]],2),"")</f>
        <v/>
      </c>
    </row>
    <row r="128" hidden="1">
      <c r="A128" s="26" t="n">
        <v>45757</v>
      </c>
      <c r="B128" s="27" t="inlineStr">
        <is>
          <t>API</t>
        </is>
      </c>
      <c r="C128" s="28" t="inlineStr">
        <is>
          <t>G8408094</t>
        </is>
      </c>
      <c r="D128" s="28" t="inlineStr">
        <is>
          <t>E</t>
        </is>
      </c>
      <c r="E128" s="27" t="inlineStr">
        <is>
          <t>Gutschrift zu Rechnung 13731318</t>
        </is>
      </c>
      <c r="F128" s="29" t="n">
        <v>-250.82</v>
      </c>
      <c r="G128" s="29" t="n">
        <v>-298.48</v>
      </c>
      <c r="H128" s="30" t="inlineStr">
        <is>
          <t>X</t>
        </is>
      </c>
      <c r="I128" s="30" t="inlineStr">
        <is>
          <t>Z</t>
        </is>
      </c>
      <c r="J128" s="31" t="inlineStr">
        <is>
          <t>M</t>
        </is>
      </c>
      <c r="K128" s="50" t="n"/>
      <c r="L128" s="50" t="n"/>
      <c r="M128" s="49" t="n"/>
      <c r="N128" s="31" t="n"/>
      <c r="O128" s="12">
        <f>IF(tb_rechnungen[[#This Row],[Re-Datum]]&gt;0,MONTH(tb_rechnungen[[#This Row],[Re-Datum]]),"")</f>
        <v/>
      </c>
      <c r="P128" s="13">
        <f>IF(tb_rechnungen[[#This Row],[Re-Datum]]&gt;0,YEAR(tb_rechnungen[[#This Row],[Re-Datum]]),"")</f>
        <v/>
      </c>
      <c r="Q128" s="19">
        <f>IF(tb_rechnungen[[#This Row],[Brutto]]&lt;&gt;0,tb_rechnungen[[#This Row],[Brutto]]-tb_rechnungen[[#This Row],[Netto]],"")</f>
        <v/>
      </c>
      <c r="R128" s="37">
        <f>IF(tb_rechnungen[[#This Row],[Netto]]&lt;&gt;0,ROUND(tb_rechnungen[[#This Row],[Steuer]]/tb_rechnungen[[#This Row],[Netto]],2),"")</f>
        <v/>
      </c>
    </row>
    <row r="129" hidden="1">
      <c r="A129" s="26" t="n">
        <v>45757</v>
      </c>
      <c r="B129" s="27" t="inlineStr">
        <is>
          <t>Telekom</t>
        </is>
      </c>
      <c r="C129" s="28" t="inlineStr">
        <is>
          <t>34 4834 3800 0551</t>
        </is>
      </c>
      <c r="D129" s="28" t="inlineStr">
        <is>
          <t>K</t>
        </is>
      </c>
      <c r="E129" s="27" t="inlineStr">
        <is>
          <t>Schulze mobil März</t>
        </is>
      </c>
      <c r="F129" s="29" t="n">
        <v>12.56</v>
      </c>
      <c r="G129" s="29" t="n">
        <v>14.95</v>
      </c>
      <c r="H129" s="30" t="inlineStr">
        <is>
          <t>X</t>
        </is>
      </c>
      <c r="I129" s="30" t="inlineStr">
        <is>
          <t>Z</t>
        </is>
      </c>
      <c r="J129" s="31" t="inlineStr">
        <is>
          <t>M</t>
        </is>
      </c>
      <c r="K129" s="50" t="n"/>
      <c r="L129" s="50" t="n"/>
      <c r="M129" s="49" t="n"/>
      <c r="N129" s="31" t="n"/>
      <c r="O129" s="12">
        <f>IF(tb_rechnungen[[#This Row],[Re-Datum]]&gt;0,MONTH(tb_rechnungen[[#This Row],[Re-Datum]]),"")</f>
        <v/>
      </c>
      <c r="P129" s="13">
        <f>IF(tb_rechnungen[[#This Row],[Re-Datum]]&gt;0,YEAR(tb_rechnungen[[#This Row],[Re-Datum]]),"")</f>
        <v/>
      </c>
      <c r="Q129" s="19">
        <f>IF(tb_rechnungen[[#This Row],[Brutto]]&lt;&gt;0,tb_rechnungen[[#This Row],[Brutto]]-tb_rechnungen[[#This Row],[Netto]],"")</f>
        <v/>
      </c>
      <c r="R129" s="37">
        <f>IF(tb_rechnungen[[#This Row],[Netto]]&lt;&gt;0,ROUND(tb_rechnungen[[#This Row],[Steuer]]/tb_rechnungen[[#This Row],[Netto]],2),"")</f>
        <v/>
      </c>
    </row>
    <row r="130" hidden="1">
      <c r="A130" s="26" t="n">
        <v>45726</v>
      </c>
      <c r="B130" s="27" t="inlineStr">
        <is>
          <t>Video4Net</t>
        </is>
      </c>
      <c r="C130" s="28" t="inlineStr">
        <is>
          <t>RE-1017</t>
        </is>
      </c>
      <c r="D130" s="28" t="inlineStr">
        <is>
          <t>K</t>
        </is>
      </c>
      <c r="E130" s="27" t="inlineStr">
        <is>
          <t>Buchhaltung Januar/Februar</t>
        </is>
      </c>
      <c r="F130" s="29" t="n">
        <v>225</v>
      </c>
      <c r="G130" s="29" t="n">
        <v>267.75</v>
      </c>
      <c r="H130" s="30" t="inlineStr">
        <is>
          <t>X</t>
        </is>
      </c>
      <c r="I130" s="30" t="inlineStr">
        <is>
          <t>Z</t>
        </is>
      </c>
      <c r="J130" s="31" t="inlineStr">
        <is>
          <t>M</t>
        </is>
      </c>
      <c r="K130" s="50" t="n"/>
      <c r="L130" s="50" t="n"/>
      <c r="M130" s="49" t="n"/>
      <c r="N130" s="31" t="n"/>
      <c r="O130" s="12">
        <f>IF(tb_rechnungen[[#This Row],[Re-Datum]]&gt;0,MONTH(tb_rechnungen[[#This Row],[Re-Datum]]),"")</f>
        <v/>
      </c>
      <c r="P130" s="13">
        <f>IF(tb_rechnungen[[#This Row],[Re-Datum]]&gt;0,YEAR(tb_rechnungen[[#This Row],[Re-Datum]]),"")</f>
        <v/>
      </c>
      <c r="Q130" s="19">
        <f>IF(tb_rechnungen[[#This Row],[Brutto]]&lt;&gt;0,tb_rechnungen[[#This Row],[Brutto]]-tb_rechnungen[[#This Row],[Netto]],"")</f>
        <v/>
      </c>
      <c r="R130" s="37">
        <f>IF(tb_rechnungen[[#This Row],[Netto]]&lt;&gt;0,ROUND(tb_rechnungen[[#This Row],[Steuer]]/tb_rechnungen[[#This Row],[Netto]],2),"")</f>
        <v/>
      </c>
    </row>
    <row r="131" hidden="1">
      <c r="A131" s="26" t="n">
        <v>45761</v>
      </c>
      <c r="B131" s="27" t="inlineStr">
        <is>
          <t>VBG</t>
        </is>
      </c>
      <c r="C131" s="28" t="inlineStr">
        <is>
          <t>50170361 000000</t>
        </is>
      </c>
      <c r="D131" s="28" t="inlineStr">
        <is>
          <t>K</t>
        </is>
      </c>
      <c r="E131" s="27" t="inlineStr">
        <is>
          <t>Beitrag 2025/2026 Faszl</t>
        </is>
      </c>
      <c r="F131" s="29" t="n">
        <v>108.52</v>
      </c>
      <c r="G131" s="29" t="n">
        <v>108.52</v>
      </c>
      <c r="H131" s="30" t="inlineStr">
        <is>
          <t>X</t>
        </is>
      </c>
      <c r="I131" s="30" t="inlineStr">
        <is>
          <t>Z</t>
        </is>
      </c>
      <c r="J131" s="31" t="inlineStr">
        <is>
          <t>M</t>
        </is>
      </c>
      <c r="K131" s="50" t="n"/>
      <c r="L131" s="50" t="n"/>
      <c r="M131" s="49" t="n"/>
      <c r="N131" s="31" t="n"/>
      <c r="O131" s="12">
        <f>IF(tb_rechnungen[[#This Row],[Re-Datum]]&gt;0,MONTH(tb_rechnungen[[#This Row],[Re-Datum]]),"")</f>
        <v/>
      </c>
      <c r="P131" s="13">
        <f>IF(tb_rechnungen[[#This Row],[Re-Datum]]&gt;0,YEAR(tb_rechnungen[[#This Row],[Re-Datum]]),"")</f>
        <v/>
      </c>
      <c r="Q131" s="19">
        <f>IF(tb_rechnungen[[#This Row],[Brutto]]&lt;&gt;0,tb_rechnungen[[#This Row],[Brutto]]-tb_rechnungen[[#This Row],[Netto]],"")</f>
        <v/>
      </c>
      <c r="R131" s="37">
        <f>IF(tb_rechnungen[[#This Row],[Netto]]&lt;&gt;0,ROUND(tb_rechnungen[[#This Row],[Steuer]]/tb_rechnungen[[#This Row],[Netto]],2),"")</f>
        <v/>
      </c>
    </row>
    <row r="132" hidden="1">
      <c r="A132" s="26" t="n">
        <v>45761</v>
      </c>
      <c r="B132" s="27" t="inlineStr">
        <is>
          <t>VBG</t>
        </is>
      </c>
      <c r="C132" s="28" t="inlineStr">
        <is>
          <t>50111431 000000</t>
        </is>
      </c>
      <c r="D132" s="28" t="inlineStr">
        <is>
          <t>K</t>
        </is>
      </c>
      <c r="E132" s="27" t="inlineStr">
        <is>
          <t>Beitrag 2025/2026 Schulze</t>
        </is>
      </c>
      <c r="F132" s="29" t="n">
        <v>108.52</v>
      </c>
      <c r="G132" s="29" t="n">
        <v>108.52</v>
      </c>
      <c r="H132" s="30" t="inlineStr">
        <is>
          <t>X</t>
        </is>
      </c>
      <c r="I132" s="30" t="inlineStr">
        <is>
          <t>Z</t>
        </is>
      </c>
      <c r="J132" s="31" t="inlineStr">
        <is>
          <t>M</t>
        </is>
      </c>
      <c r="K132" s="50" t="n"/>
      <c r="L132" s="50" t="n"/>
      <c r="M132" s="49" t="n"/>
      <c r="N132" s="31" t="n"/>
      <c r="O132" s="12">
        <f>IF(tb_rechnungen[[#This Row],[Re-Datum]]&gt;0,MONTH(tb_rechnungen[[#This Row],[Re-Datum]]),"")</f>
        <v/>
      </c>
      <c r="P132" s="13">
        <f>IF(tb_rechnungen[[#This Row],[Re-Datum]]&gt;0,YEAR(tb_rechnungen[[#This Row],[Re-Datum]]),"")</f>
        <v/>
      </c>
      <c r="Q132" s="19">
        <f>IF(tb_rechnungen[[#This Row],[Brutto]]&lt;&gt;0,tb_rechnungen[[#This Row],[Brutto]]-tb_rechnungen[[#This Row],[Netto]],"")</f>
        <v/>
      </c>
      <c r="R132" s="37">
        <f>IF(tb_rechnungen[[#This Row],[Netto]]&lt;&gt;0,ROUND(tb_rechnungen[[#This Row],[Steuer]]/tb_rechnungen[[#This Row],[Netto]],2),"")</f>
        <v/>
      </c>
    </row>
    <row r="133" hidden="1">
      <c r="A133" s="26" t="n">
        <v>45761</v>
      </c>
      <c r="B133" s="27" t="inlineStr">
        <is>
          <t>Telekom</t>
        </is>
      </c>
      <c r="C133" s="28" t="inlineStr">
        <is>
          <t>777 207 7883</t>
        </is>
      </c>
      <c r="D133" s="28" t="inlineStr">
        <is>
          <t>K</t>
        </is>
      </c>
      <c r="E133" s="27" t="inlineStr">
        <is>
          <t>Schulze April</t>
        </is>
      </c>
      <c r="F133" s="29" t="n">
        <v>33.57</v>
      </c>
      <c r="G133" s="29" t="n">
        <v>39.95</v>
      </c>
      <c r="H133" s="30" t="inlineStr">
        <is>
          <t>X</t>
        </is>
      </c>
      <c r="I133" s="30" t="inlineStr">
        <is>
          <t>A</t>
        </is>
      </c>
      <c r="J133" s="31" t="inlineStr">
        <is>
          <t>M</t>
        </is>
      </c>
      <c r="K133" s="50" t="n"/>
      <c r="L133" s="50" t="n"/>
      <c r="M133" s="49" t="n"/>
      <c r="N133" s="31" t="n"/>
      <c r="O133" s="12">
        <f>IF(tb_rechnungen[[#This Row],[Re-Datum]]&gt;0,MONTH(tb_rechnungen[[#This Row],[Re-Datum]]),"")</f>
        <v/>
      </c>
      <c r="P133" s="13">
        <f>IF(tb_rechnungen[[#This Row],[Re-Datum]]&gt;0,YEAR(tb_rechnungen[[#This Row],[Re-Datum]]),"")</f>
        <v/>
      </c>
      <c r="Q133" s="19">
        <f>IF(tb_rechnungen[[#This Row],[Brutto]]&lt;&gt;0,tb_rechnungen[[#This Row],[Brutto]]-tb_rechnungen[[#This Row],[Netto]],"")</f>
        <v/>
      </c>
      <c r="R133" s="37">
        <f>IF(tb_rechnungen[[#This Row],[Netto]]&lt;&gt;0,ROUND(tb_rechnungen[[#This Row],[Steuer]]/tb_rechnungen[[#This Row],[Netto]],2),"")</f>
        <v/>
      </c>
    </row>
    <row r="134" hidden="1">
      <c r="A134" s="26" t="n">
        <v>45771</v>
      </c>
      <c r="B134" s="27" t="inlineStr">
        <is>
          <t>Blau</t>
        </is>
      </c>
      <c r="C134" s="28" t="inlineStr">
        <is>
          <t>1237166449/08</t>
        </is>
      </c>
      <c r="D134" s="28" t="inlineStr">
        <is>
          <t>K</t>
        </is>
      </c>
      <c r="E134" s="27" t="inlineStr">
        <is>
          <t>Faszl Mobil April</t>
        </is>
      </c>
      <c r="F134" s="29" t="n">
        <v>6.71</v>
      </c>
      <c r="G134" s="29" t="n">
        <v>7.99</v>
      </c>
      <c r="H134" s="30" t="inlineStr">
        <is>
          <t>X</t>
        </is>
      </c>
      <c r="I134" s="30" t="inlineStr">
        <is>
          <t>A</t>
        </is>
      </c>
      <c r="J134" s="31" t="inlineStr">
        <is>
          <t>M</t>
        </is>
      </c>
      <c r="K134" s="50" t="n"/>
      <c r="L134" s="50" t="n"/>
      <c r="M134" s="49" t="n"/>
      <c r="N134" s="31" t="n"/>
      <c r="O134" s="12">
        <f>IF(tb_rechnungen[[#This Row],[Re-Datum]]&gt;0,MONTH(tb_rechnungen[[#This Row],[Re-Datum]]),"")</f>
        <v/>
      </c>
      <c r="P134" s="13">
        <f>IF(tb_rechnungen[[#This Row],[Re-Datum]]&gt;0,YEAR(tb_rechnungen[[#This Row],[Re-Datum]]),"")</f>
        <v/>
      </c>
      <c r="Q134" s="19">
        <f>IF(tb_rechnungen[[#This Row],[Brutto]]&lt;&gt;0,tb_rechnungen[[#This Row],[Brutto]]-tb_rechnungen[[#This Row],[Netto]],"")</f>
        <v/>
      </c>
      <c r="R134" s="37">
        <f>IF(tb_rechnungen[[#This Row],[Netto]]&lt;&gt;0,ROUND(tb_rechnungen[[#This Row],[Steuer]]/tb_rechnungen[[#This Row],[Netto]],2),"")</f>
        <v/>
      </c>
    </row>
    <row r="135" hidden="1">
      <c r="A135" s="26" t="n">
        <v>45756</v>
      </c>
      <c r="B135" s="27" t="inlineStr">
        <is>
          <t>API</t>
        </is>
      </c>
      <c r="C135" s="28" t="inlineStr">
        <is>
          <t xml:space="preserve">RG 13848714 </t>
        </is>
      </c>
      <c r="D135" s="28" t="inlineStr">
        <is>
          <t>E</t>
        </is>
      </c>
      <c r="E135" s="27" t="inlineStr">
        <is>
          <t>Switch für BLK</t>
        </is>
      </c>
      <c r="F135" s="29" t="n">
        <v>1273.51</v>
      </c>
      <c r="G135" s="29" t="n">
        <v>1515.48</v>
      </c>
      <c r="H135" s="30" t="inlineStr">
        <is>
          <t>X</t>
        </is>
      </c>
      <c r="I135" s="30" t="inlineStr">
        <is>
          <t>Z</t>
        </is>
      </c>
      <c r="J135" s="31" t="inlineStr">
        <is>
          <t>M</t>
        </is>
      </c>
      <c r="K135" s="50" t="n"/>
      <c r="L135" s="50" t="n"/>
      <c r="M135" s="49" t="n"/>
      <c r="N135" s="31" t="n"/>
      <c r="O135" s="12">
        <f>IF(tb_rechnungen[[#This Row],[Re-Datum]]&gt;0,MONTH(tb_rechnungen[[#This Row],[Re-Datum]]),"")</f>
        <v/>
      </c>
      <c r="P135" s="13">
        <f>IF(tb_rechnungen[[#This Row],[Re-Datum]]&gt;0,YEAR(tb_rechnungen[[#This Row],[Re-Datum]]),"")</f>
        <v/>
      </c>
      <c r="Q135" s="19">
        <f>IF(tb_rechnungen[[#This Row],[Brutto]]&lt;&gt;0,tb_rechnungen[[#This Row],[Brutto]]-tb_rechnungen[[#This Row],[Netto]],"")</f>
        <v/>
      </c>
      <c r="R135" s="37">
        <f>IF(tb_rechnungen[[#This Row],[Netto]]&lt;&gt;0,ROUND(tb_rechnungen[[#This Row],[Steuer]]/tb_rechnungen[[#This Row],[Netto]],2),"")</f>
        <v/>
      </c>
    </row>
    <row r="136" hidden="1">
      <c r="A136" s="26" t="n">
        <v>45763</v>
      </c>
      <c r="B136" s="27" t="inlineStr">
        <is>
          <t>VBG</t>
        </is>
      </c>
      <c r="C136" s="28" t="inlineStr">
        <is>
          <t>1665 3615 6537 001</t>
        </is>
      </c>
      <c r="D136" s="28" t="inlineStr">
        <is>
          <t>K</t>
        </is>
      </c>
      <c r="E136" s="28" t="inlineStr">
        <is>
          <t>Bescheid 2024</t>
        </is>
      </c>
      <c r="F136" s="29" t="n">
        <v>78.73</v>
      </c>
      <c r="G136" s="29" t="n">
        <v>78.73</v>
      </c>
      <c r="H136" s="30" t="inlineStr">
        <is>
          <t>X</t>
        </is>
      </c>
      <c r="I136" s="30" t="inlineStr">
        <is>
          <t>Z</t>
        </is>
      </c>
      <c r="J136" s="30" t="inlineStr">
        <is>
          <t>M</t>
        </is>
      </c>
      <c r="K136" s="50" t="n"/>
      <c r="L136" s="50" t="n"/>
      <c r="M136" s="49" t="n"/>
      <c r="N136" s="31" t="n"/>
      <c r="O136" s="12">
        <f>IF(tb_rechnungen[[#This Row],[Re-Datum]]&gt;0,MONTH(tb_rechnungen[[#This Row],[Re-Datum]]),"")</f>
        <v/>
      </c>
      <c r="P136" s="13">
        <f>IF(tb_rechnungen[[#This Row],[Re-Datum]]&gt;0,YEAR(tb_rechnungen[[#This Row],[Re-Datum]]),"")</f>
        <v/>
      </c>
      <c r="Q136" s="19">
        <f>IF(tb_rechnungen[[#This Row],[Brutto]]&lt;&gt;0,tb_rechnungen[[#This Row],[Brutto]]-tb_rechnungen[[#This Row],[Netto]],"")</f>
        <v/>
      </c>
      <c r="R136" s="37">
        <f>IF(tb_rechnungen[[#This Row],[Netto]]&lt;&gt;0,ROUND(tb_rechnungen[[#This Row],[Steuer]]/tb_rechnungen[[#This Row],[Netto]],2),"")</f>
        <v/>
      </c>
    </row>
    <row r="137" hidden="1">
      <c r="A137" s="26" t="n">
        <v>45764</v>
      </c>
      <c r="B137" s="27" t="inlineStr">
        <is>
          <t>Wolkesicher</t>
        </is>
      </c>
      <c r="C137" s="28" t="inlineStr">
        <is>
          <t>R383561</t>
        </is>
      </c>
      <c r="D137" s="28" t="inlineStr">
        <is>
          <t>K</t>
        </is>
      </c>
      <c r="E137" s="27" t="inlineStr">
        <is>
          <t>nc2.uhde.de 05/2025</t>
        </is>
      </c>
      <c r="F137" s="29" t="n">
        <v>4.19</v>
      </c>
      <c r="G137" s="29" t="n">
        <v>4.99</v>
      </c>
      <c r="H137" s="30" t="inlineStr">
        <is>
          <t>X</t>
        </is>
      </c>
      <c r="I137" s="30" t="inlineStr">
        <is>
          <t>A</t>
        </is>
      </c>
      <c r="J137" s="31" t="inlineStr">
        <is>
          <t>M</t>
        </is>
      </c>
      <c r="K137" s="50" t="n"/>
      <c r="L137" s="50" t="n"/>
      <c r="M137" s="49" t="n"/>
      <c r="N137" s="31" t="n"/>
      <c r="O137" s="12">
        <f>IF(tb_rechnungen[[#This Row],[Re-Datum]]&gt;0,MONTH(tb_rechnungen[[#This Row],[Re-Datum]]),"")</f>
        <v/>
      </c>
      <c r="P137" s="13">
        <f>IF(tb_rechnungen[[#This Row],[Re-Datum]]&gt;0,YEAR(tb_rechnungen[[#This Row],[Re-Datum]]),"")</f>
        <v/>
      </c>
      <c r="Q137" s="19">
        <f>IF(tb_rechnungen[[#This Row],[Brutto]]&lt;&gt;0,tb_rechnungen[[#This Row],[Brutto]]-tb_rechnungen[[#This Row],[Netto]],"")</f>
        <v/>
      </c>
      <c r="R137" s="37">
        <f>IF(tb_rechnungen[[#This Row],[Netto]]&lt;&gt;0,ROUND(tb_rechnungen[[#This Row],[Steuer]]/tb_rechnungen[[#This Row],[Netto]],2),"")</f>
        <v/>
      </c>
    </row>
    <row r="138" hidden="1">
      <c r="A138" s="26" t="n">
        <v>45758</v>
      </c>
      <c r="B138" s="27" t="inlineStr">
        <is>
          <t>Jacob Elektronik</t>
        </is>
      </c>
      <c r="C138" s="28" t="inlineStr">
        <is>
          <t>SRE10025142</t>
        </is>
      </c>
      <c r="D138" s="28" t="inlineStr">
        <is>
          <t>E</t>
        </is>
      </c>
      <c r="E138" s="27" t="inlineStr">
        <is>
          <t>Hardware Schulze</t>
        </is>
      </c>
      <c r="F138" s="29" t="n">
        <v>71.45</v>
      </c>
      <c r="G138" s="29" t="n">
        <v>85.03</v>
      </c>
      <c r="H138" s="30" t="inlineStr">
        <is>
          <t>X</t>
        </is>
      </c>
      <c r="I138" s="30" t="inlineStr">
        <is>
          <t>Z</t>
        </is>
      </c>
      <c r="J138" s="31" t="inlineStr">
        <is>
          <t>M</t>
        </is>
      </c>
      <c r="K138" s="50" t="n"/>
      <c r="L138" s="50" t="n"/>
      <c r="M138" s="49" t="n"/>
      <c r="N138" s="31" t="n"/>
      <c r="O138" s="12">
        <f>IF(tb_rechnungen[[#This Row],[Re-Datum]]&gt;0,MONTH(tb_rechnungen[[#This Row],[Re-Datum]]),"")</f>
        <v/>
      </c>
      <c r="P138" s="13">
        <f>IF(tb_rechnungen[[#This Row],[Re-Datum]]&gt;0,YEAR(tb_rechnungen[[#This Row],[Re-Datum]]),"")</f>
        <v/>
      </c>
      <c r="Q138" s="19">
        <f>IF(tb_rechnungen[[#This Row],[Brutto]]&lt;&gt;0,tb_rechnungen[[#This Row],[Brutto]]-tb_rechnungen[[#This Row],[Netto]],"")</f>
        <v/>
      </c>
      <c r="R138" s="37">
        <f>IF(tb_rechnungen[[#This Row],[Netto]]&lt;&gt;0,ROUND(tb_rechnungen[[#This Row],[Steuer]]/tb_rechnungen[[#This Row],[Netto]],2),"")</f>
        <v/>
      </c>
    </row>
    <row r="139" hidden="1">
      <c r="A139" s="26" t="n">
        <v>45762</v>
      </c>
      <c r="B139" s="27" t="inlineStr">
        <is>
          <t>DKV</t>
        </is>
      </c>
      <c r="C139" s="28" t="inlineStr">
        <is>
          <t>25/643227274/001</t>
        </is>
      </c>
      <c r="D139" s="28" t="inlineStr">
        <is>
          <t>K</t>
        </is>
      </c>
      <c r="E139" s="27" t="inlineStr">
        <is>
          <t>Abrechung 01/April</t>
        </is>
      </c>
      <c r="F139" s="29" t="n">
        <v>99.84999999999999</v>
      </c>
      <c r="G139" s="29" t="n">
        <v>118.82</v>
      </c>
      <c r="H139" s="30" t="inlineStr">
        <is>
          <t>X</t>
        </is>
      </c>
      <c r="I139" s="30" t="inlineStr">
        <is>
          <t>A</t>
        </is>
      </c>
      <c r="J139" s="31" t="inlineStr">
        <is>
          <t>M</t>
        </is>
      </c>
      <c r="K139" s="50" t="n"/>
      <c r="L139" s="50" t="n"/>
      <c r="M139" s="49" t="n"/>
      <c r="N139" s="31" t="n"/>
      <c r="O139" s="12">
        <f>IF(tb_rechnungen[[#This Row],[Re-Datum]]&gt;0,MONTH(tb_rechnungen[[#This Row],[Re-Datum]]),"")</f>
        <v/>
      </c>
      <c r="P139" s="13">
        <f>IF(tb_rechnungen[[#This Row],[Re-Datum]]&gt;0,YEAR(tb_rechnungen[[#This Row],[Re-Datum]]),"")</f>
        <v/>
      </c>
      <c r="Q139" s="19">
        <f>IF(tb_rechnungen[[#This Row],[Brutto]]&lt;&gt;0,tb_rechnungen[[#This Row],[Brutto]]-tb_rechnungen[[#This Row],[Netto]],"")</f>
        <v/>
      </c>
      <c r="R139" s="37">
        <f>IF(tb_rechnungen[[#This Row],[Netto]]&lt;&gt;0,ROUND(tb_rechnungen[[#This Row],[Steuer]]/tb_rechnungen[[#This Row],[Netto]],2),"")</f>
        <v/>
      </c>
    </row>
    <row r="140" hidden="1">
      <c r="A140" s="26" t="n">
        <v>45764</v>
      </c>
      <c r="B140" s="27" t="inlineStr">
        <is>
          <t>Telekom</t>
        </is>
      </c>
      <c r="C140" s="28" t="inlineStr">
        <is>
          <t>R7774951243</t>
        </is>
      </c>
      <c r="D140" s="28" t="inlineStr">
        <is>
          <t>K</t>
        </is>
      </c>
      <c r="E140" s="27" t="inlineStr">
        <is>
          <t>Faszl April</t>
        </is>
      </c>
      <c r="F140" s="29" t="n">
        <v>37.77</v>
      </c>
      <c r="G140" s="29" t="n">
        <v>44.96</v>
      </c>
      <c r="H140" s="30" t="inlineStr">
        <is>
          <t>X</t>
        </is>
      </c>
      <c r="I140" s="30" t="inlineStr">
        <is>
          <t>A</t>
        </is>
      </c>
      <c r="J140" s="31" t="inlineStr">
        <is>
          <t>M</t>
        </is>
      </c>
      <c r="K140" s="50" t="n"/>
      <c r="L140" s="50" t="n"/>
      <c r="M140" s="49" t="n"/>
      <c r="N140" s="31" t="n"/>
      <c r="O140" s="12">
        <f>IF(tb_rechnungen[[#This Row],[Re-Datum]]&gt;0,MONTH(tb_rechnungen[[#This Row],[Re-Datum]]),"")</f>
        <v/>
      </c>
      <c r="P140" s="13">
        <f>IF(tb_rechnungen[[#This Row],[Re-Datum]]&gt;0,YEAR(tb_rechnungen[[#This Row],[Re-Datum]]),"")</f>
        <v/>
      </c>
      <c r="Q140" s="19">
        <f>IF(tb_rechnungen[[#This Row],[Brutto]]&lt;&gt;0,tb_rechnungen[[#This Row],[Brutto]]-tb_rechnungen[[#This Row],[Netto]],"")</f>
        <v/>
      </c>
      <c r="R140" s="37">
        <f>IF(tb_rechnungen[[#This Row],[Netto]]&lt;&gt;0,ROUND(tb_rechnungen[[#This Row],[Steuer]]/tb_rechnungen[[#This Row],[Netto]],2),"")</f>
        <v/>
      </c>
    </row>
    <row r="141" hidden="1">
      <c r="A141" s="26" t="n">
        <v>45770</v>
      </c>
      <c r="B141" s="27" t="inlineStr">
        <is>
          <t>PSW Group</t>
        </is>
      </c>
      <c r="C141" s="28" t="inlineStr">
        <is>
          <t>RG12513006</t>
        </is>
      </c>
      <c r="D141" s="28" t="inlineStr">
        <is>
          <t>E</t>
        </is>
      </c>
      <c r="E141" s="27" t="inlineStr">
        <is>
          <t>SSL-Zertif. Mailings.gml-ludwigshafen.de</t>
        </is>
      </c>
      <c r="F141" s="29" t="n">
        <v>13.61</v>
      </c>
      <c r="G141" s="29" t="n">
        <v>16.2</v>
      </c>
      <c r="H141" s="30" t="inlineStr">
        <is>
          <t>X</t>
        </is>
      </c>
      <c r="I141" s="30" t="inlineStr">
        <is>
          <t>A</t>
        </is>
      </c>
      <c r="J141" s="31" t="inlineStr">
        <is>
          <t>M</t>
        </is>
      </c>
      <c r="K141" s="50" t="n"/>
      <c r="L141" s="50" t="n"/>
      <c r="M141" s="49" t="n"/>
      <c r="N141" s="31" t="n"/>
      <c r="O141" s="12">
        <f>IF(tb_rechnungen[[#This Row],[Re-Datum]]&gt;0,MONTH(tb_rechnungen[[#This Row],[Re-Datum]]),"")</f>
        <v/>
      </c>
      <c r="P141" s="13">
        <f>IF(tb_rechnungen[[#This Row],[Re-Datum]]&gt;0,YEAR(tb_rechnungen[[#This Row],[Re-Datum]]),"")</f>
        <v/>
      </c>
      <c r="Q141" s="19">
        <f>IF(tb_rechnungen[[#This Row],[Brutto]]&lt;&gt;0,tb_rechnungen[[#This Row],[Brutto]]-tb_rechnungen[[#This Row],[Netto]],"")</f>
        <v/>
      </c>
      <c r="R141" s="37">
        <f>IF(tb_rechnungen[[#This Row],[Netto]]&lt;&gt;0,ROUND(tb_rechnungen[[#This Row],[Steuer]]/tb_rechnungen[[#This Row],[Netto]],2),"")</f>
        <v/>
      </c>
    </row>
    <row r="142" hidden="1">
      <c r="A142" s="26" t="n">
        <v>45772</v>
      </c>
      <c r="B142" s="27" t="inlineStr">
        <is>
          <t>Gandenberger</t>
        </is>
      </c>
      <c r="C142" s="28" t="inlineStr">
        <is>
          <t>R110076351</t>
        </is>
      </c>
      <c r="D142" s="28" t="inlineStr">
        <is>
          <t>K</t>
        </is>
      </c>
      <c r="E142" s="27" t="inlineStr">
        <is>
          <t>Reifenwechsel LU UH 200</t>
        </is>
      </c>
      <c r="F142" s="29" t="n">
        <v>62.18</v>
      </c>
      <c r="G142" s="29" t="n">
        <v>73.98999999999999</v>
      </c>
      <c r="H142" s="30" t="inlineStr">
        <is>
          <t>X</t>
        </is>
      </c>
      <c r="I142" s="30" t="inlineStr">
        <is>
          <t>A</t>
        </is>
      </c>
      <c r="J142" s="30" t="inlineStr">
        <is>
          <t>M</t>
        </is>
      </c>
      <c r="K142" s="50" t="n"/>
      <c r="L142" s="50" t="n"/>
      <c r="M142" s="49" t="n"/>
      <c r="N142" s="31" t="n"/>
      <c r="O142" s="12">
        <f>IF(tb_rechnungen[[#This Row],[Re-Datum]]&gt;0,MONTH(tb_rechnungen[[#This Row],[Re-Datum]]),"")</f>
        <v/>
      </c>
      <c r="P142" s="13">
        <f>IF(tb_rechnungen[[#This Row],[Re-Datum]]&gt;0,YEAR(tb_rechnungen[[#This Row],[Re-Datum]]),"")</f>
        <v/>
      </c>
      <c r="Q142" s="19">
        <f>IF(tb_rechnungen[[#This Row],[Brutto]]&lt;&gt;0,tb_rechnungen[[#This Row],[Brutto]]-tb_rechnungen[[#This Row],[Netto]],"")</f>
        <v/>
      </c>
      <c r="R142" s="37">
        <f>IF(tb_rechnungen[[#This Row],[Netto]]&lt;&gt;0,ROUND(tb_rechnungen[[#This Row],[Steuer]]/tb_rechnungen[[#This Row],[Netto]],2),"")</f>
        <v/>
      </c>
    </row>
    <row r="143" hidden="1">
      <c r="A143" s="26" t="n">
        <v>45775</v>
      </c>
      <c r="B143" s="27" t="inlineStr">
        <is>
          <t>Sage</t>
        </is>
      </c>
      <c r="C143" s="28" t="inlineStr">
        <is>
          <t>RG 2025-1175013</t>
        </is>
      </c>
      <c r="D143" s="28" t="inlineStr">
        <is>
          <t>K</t>
        </is>
      </c>
      <c r="E143" s="27" t="inlineStr">
        <is>
          <t>HR-Cloud 2 MA Mai</t>
        </is>
      </c>
      <c r="F143" s="29" t="n">
        <v>15.5</v>
      </c>
      <c r="G143" s="29" t="n">
        <v>18.45</v>
      </c>
      <c r="H143" s="30" t="inlineStr">
        <is>
          <t>X</t>
        </is>
      </c>
      <c r="I143" s="30" t="inlineStr">
        <is>
          <t>A</t>
        </is>
      </c>
      <c r="J143" s="31" t="inlineStr">
        <is>
          <t>M</t>
        </is>
      </c>
      <c r="K143" s="50" t="n"/>
      <c r="L143" s="50" t="n"/>
      <c r="M143" s="49" t="n"/>
      <c r="N143" s="31" t="n"/>
      <c r="O143" s="12">
        <f>IF(tb_rechnungen[[#This Row],[Re-Datum]]&gt;0,MONTH(tb_rechnungen[[#This Row],[Re-Datum]]),"")</f>
        <v/>
      </c>
      <c r="P143" s="13">
        <f>IF(tb_rechnungen[[#This Row],[Re-Datum]]&gt;0,YEAR(tb_rechnungen[[#This Row],[Re-Datum]]),"")</f>
        <v/>
      </c>
      <c r="Q143" s="19">
        <f>IF(tb_rechnungen[[#This Row],[Brutto]]&lt;&gt;0,tb_rechnungen[[#This Row],[Brutto]]-tb_rechnungen[[#This Row],[Netto]],"")</f>
        <v/>
      </c>
      <c r="R143" s="37">
        <f>IF(tb_rechnungen[[#This Row],[Netto]]&lt;&gt;0,ROUND(tb_rechnungen[[#This Row],[Steuer]]/tb_rechnungen[[#This Row],[Netto]],2),"")</f>
        <v/>
      </c>
    </row>
    <row r="144" hidden="1">
      <c r="A144" s="26" t="n">
        <v>45775</v>
      </c>
      <c r="B144" s="27" t="inlineStr">
        <is>
          <t>Telekom</t>
        </is>
      </c>
      <c r="C144" s="28" t="inlineStr">
        <is>
          <t>RG 778721615</t>
        </is>
      </c>
      <c r="D144" s="28" t="inlineStr">
        <is>
          <t>K</t>
        </is>
      </c>
      <c r="E144" s="27" t="inlineStr">
        <is>
          <t>Büro LU Mai</t>
        </is>
      </c>
      <c r="F144" s="29" t="n">
        <v>39.9</v>
      </c>
      <c r="G144" s="29" t="n">
        <v>47.48</v>
      </c>
      <c r="H144" s="30" t="inlineStr">
        <is>
          <t>X</t>
        </is>
      </c>
      <c r="I144" s="30" t="inlineStr">
        <is>
          <t>A</t>
        </is>
      </c>
      <c r="J144" s="31" t="inlineStr">
        <is>
          <t>M</t>
        </is>
      </c>
      <c r="K144" s="50" t="n"/>
      <c r="L144" s="50" t="n"/>
      <c r="M144" s="49" t="n"/>
      <c r="N144" s="31" t="n"/>
      <c r="O144" s="12">
        <f>IF(tb_rechnungen[[#This Row],[Re-Datum]]&gt;0,MONTH(tb_rechnungen[[#This Row],[Re-Datum]]),"")</f>
        <v/>
      </c>
      <c r="P144" s="13">
        <f>IF(tb_rechnungen[[#This Row],[Re-Datum]]&gt;0,YEAR(tb_rechnungen[[#This Row],[Re-Datum]]),"")</f>
        <v/>
      </c>
      <c r="Q144" s="19">
        <f>IF(tb_rechnungen[[#This Row],[Brutto]]&lt;&gt;0,tb_rechnungen[[#This Row],[Brutto]]-tb_rechnungen[[#This Row],[Netto]],"")</f>
        <v/>
      </c>
      <c r="R144" s="37">
        <f>IF(tb_rechnungen[[#This Row],[Netto]]&lt;&gt;0,ROUND(tb_rechnungen[[#This Row],[Steuer]]/tb_rechnungen[[#This Row],[Netto]],2),"")</f>
        <v/>
      </c>
    </row>
    <row r="145" hidden="1">
      <c r="A145" s="26" t="n">
        <v>45774</v>
      </c>
      <c r="B145" s="27" t="inlineStr">
        <is>
          <t>Video4Net</t>
        </is>
      </c>
      <c r="C145" s="28" t="inlineStr">
        <is>
          <t>RE1039</t>
        </is>
      </c>
      <c r="D145" s="28" t="inlineStr">
        <is>
          <t>K</t>
        </is>
      </c>
      <c r="E145" s="27" t="inlineStr">
        <is>
          <t>Buchhaltung März</t>
        </is>
      </c>
      <c r="F145" s="29" t="n">
        <v>105</v>
      </c>
      <c r="G145" s="29" t="n">
        <v>124.95</v>
      </c>
      <c r="H145" s="30" t="inlineStr">
        <is>
          <t>X</t>
        </is>
      </c>
      <c r="I145" s="30" t="inlineStr">
        <is>
          <t>Z</t>
        </is>
      </c>
      <c r="J145" s="31" t="inlineStr">
        <is>
          <t>M</t>
        </is>
      </c>
      <c r="K145" s="50" t="n"/>
      <c r="L145" s="50" t="n"/>
      <c r="M145" s="49" t="n"/>
      <c r="N145" s="31" t="n"/>
      <c r="O145" s="12">
        <f>IF(tb_rechnungen[[#This Row],[Re-Datum]]&gt;0,MONTH(tb_rechnungen[[#This Row],[Re-Datum]]),"")</f>
        <v/>
      </c>
      <c r="P145" s="13">
        <f>IF(tb_rechnungen[[#This Row],[Re-Datum]]&gt;0,YEAR(tb_rechnungen[[#This Row],[Re-Datum]]),"")</f>
        <v/>
      </c>
      <c r="Q145" s="19">
        <f>IF(tb_rechnungen[[#This Row],[Brutto]]&lt;&gt;0,tb_rechnungen[[#This Row],[Brutto]]-tb_rechnungen[[#This Row],[Netto]],"")</f>
        <v/>
      </c>
      <c r="R145" s="37">
        <f>IF(tb_rechnungen[[#This Row],[Netto]]&lt;&gt;0,ROUND(tb_rechnungen[[#This Row],[Steuer]]/tb_rechnungen[[#This Row],[Netto]],2),"")</f>
        <v/>
      </c>
    </row>
    <row r="146" hidden="1">
      <c r="A146" s="26" t="n">
        <v>45777</v>
      </c>
      <c r="B146" s="27" t="inlineStr">
        <is>
          <t>DTS NFON</t>
        </is>
      </c>
      <c r="C146" s="28" t="inlineStr">
        <is>
          <t>25-13-069944</t>
        </is>
      </c>
      <c r="D146" s="28" t="inlineStr">
        <is>
          <t>K</t>
        </is>
      </c>
      <c r="E146" s="27" t="inlineStr">
        <is>
          <t>Centrexx3 April</t>
        </is>
      </c>
      <c r="F146" s="29" t="n">
        <v>32.58</v>
      </c>
      <c r="G146" s="29" t="n">
        <v>38.77</v>
      </c>
      <c r="H146" s="30" t="inlineStr">
        <is>
          <t>X</t>
        </is>
      </c>
      <c r="I146" s="30" t="inlineStr">
        <is>
          <t>A</t>
        </is>
      </c>
      <c r="J146" s="31" t="inlineStr">
        <is>
          <t>M</t>
        </is>
      </c>
      <c r="K146" s="50" t="n"/>
      <c r="L146" s="50" t="n"/>
      <c r="M146" s="49" t="n"/>
      <c r="N146" s="31" t="n"/>
      <c r="O146" s="12">
        <f>IF(tb_rechnungen[[#This Row],[Re-Datum]]&gt;0,MONTH(tb_rechnungen[[#This Row],[Re-Datum]]),"")</f>
        <v/>
      </c>
      <c r="P146" s="13">
        <f>IF(tb_rechnungen[[#This Row],[Re-Datum]]&gt;0,YEAR(tb_rechnungen[[#This Row],[Re-Datum]]),"")</f>
        <v/>
      </c>
      <c r="Q146" s="19">
        <f>IF(tb_rechnungen[[#This Row],[Brutto]]&lt;&gt;0,tb_rechnungen[[#This Row],[Brutto]]-tb_rechnungen[[#This Row],[Netto]],"")</f>
        <v/>
      </c>
      <c r="R146" s="37">
        <f>IF(tb_rechnungen[[#This Row],[Netto]]&lt;&gt;0,ROUND(tb_rechnungen[[#This Row],[Steuer]]/tb_rechnungen[[#This Row],[Netto]],2),"")</f>
        <v/>
      </c>
    </row>
    <row r="147" hidden="1">
      <c r="A147" s="26" t="n">
        <v>45777</v>
      </c>
      <c r="B147" s="27" t="inlineStr">
        <is>
          <t>MH Bensheim</t>
        </is>
      </c>
      <c r="C147" s="28" t="inlineStr">
        <is>
          <t>R0016704</t>
        </is>
      </c>
      <c r="D147" s="28" t="inlineStr">
        <is>
          <t>K</t>
        </is>
      </c>
      <c r="E147" s="27" t="inlineStr">
        <is>
          <t>Reifenwechsel LU UH 400</t>
        </is>
      </c>
      <c r="F147" s="29" t="n">
        <v>95.8</v>
      </c>
      <c r="G147" s="29" t="n">
        <v>114</v>
      </c>
      <c r="H147" s="30" t="inlineStr">
        <is>
          <t>X</t>
        </is>
      </c>
      <c r="I147" s="30" t="inlineStr">
        <is>
          <t>A</t>
        </is>
      </c>
      <c r="J147" s="30" t="inlineStr">
        <is>
          <t>M</t>
        </is>
      </c>
      <c r="K147" s="50" t="n"/>
      <c r="L147" s="50" t="n"/>
      <c r="M147" s="49" t="n"/>
      <c r="N147" s="31" t="n"/>
      <c r="O147" s="12">
        <f>IF(tb_rechnungen[[#This Row],[Re-Datum]]&gt;0,MONTH(tb_rechnungen[[#This Row],[Re-Datum]]),"")</f>
        <v/>
      </c>
      <c r="P147" s="13">
        <f>IF(tb_rechnungen[[#This Row],[Re-Datum]]&gt;0,YEAR(tb_rechnungen[[#This Row],[Re-Datum]]),"")</f>
        <v/>
      </c>
      <c r="Q147" s="19">
        <f>IF(tb_rechnungen[[#This Row],[Brutto]]&lt;&gt;0,tb_rechnungen[[#This Row],[Brutto]]-tb_rechnungen[[#This Row],[Netto]],"")</f>
        <v/>
      </c>
      <c r="R147" s="37">
        <f>IF(tb_rechnungen[[#This Row],[Netto]]&lt;&gt;0,ROUND(tb_rechnungen[[#This Row],[Steuer]]/tb_rechnungen[[#This Row],[Netto]],2),"")</f>
        <v/>
      </c>
    </row>
    <row r="148" hidden="1">
      <c r="A148" s="26" t="n">
        <v>45777</v>
      </c>
      <c r="B148" s="27" t="inlineStr">
        <is>
          <t>DKV</t>
        </is>
      </c>
      <c r="C148" s="28" t="inlineStr">
        <is>
          <t>25/643487179/001</t>
        </is>
      </c>
      <c r="D148" s="28" t="inlineStr">
        <is>
          <t>K</t>
        </is>
      </c>
      <c r="E148" s="27" t="inlineStr">
        <is>
          <t>April</t>
        </is>
      </c>
      <c r="F148" s="29" t="n">
        <v>109.56</v>
      </c>
      <c r="G148" s="29" t="n">
        <v>130.38</v>
      </c>
      <c r="H148" s="30" t="inlineStr">
        <is>
          <t>X</t>
        </is>
      </c>
      <c r="I148" s="30" t="inlineStr">
        <is>
          <t>A</t>
        </is>
      </c>
      <c r="J148" s="30" t="inlineStr">
        <is>
          <t>M</t>
        </is>
      </c>
      <c r="K148" s="50" t="n"/>
      <c r="L148" s="50" t="n"/>
      <c r="M148" s="49" t="n"/>
      <c r="N148" s="31" t="n"/>
      <c r="O148" s="12">
        <f>IF(tb_rechnungen[[#This Row],[Re-Datum]]&gt;0,MONTH(tb_rechnungen[[#This Row],[Re-Datum]]),"")</f>
        <v/>
      </c>
      <c r="P148" s="13">
        <f>IF(tb_rechnungen[[#This Row],[Re-Datum]]&gt;0,YEAR(tb_rechnungen[[#This Row],[Re-Datum]]),"")</f>
        <v/>
      </c>
      <c r="Q148" s="19">
        <f>IF(tb_rechnungen[[#This Row],[Brutto]]&lt;&gt;0,tb_rechnungen[[#This Row],[Brutto]]-tb_rechnungen[[#This Row],[Netto]],"")</f>
        <v/>
      </c>
      <c r="R148" s="37">
        <f>IF(tb_rechnungen[[#This Row],[Netto]]&lt;&gt;0,ROUND(tb_rechnungen[[#This Row],[Steuer]]/tb_rechnungen[[#This Row],[Netto]],2),"")</f>
        <v/>
      </c>
    </row>
    <row r="149" hidden="1">
      <c r="A149" s="26" t="n">
        <v>45778</v>
      </c>
      <c r="B149" s="27" t="inlineStr">
        <is>
          <t>VW Leasing</t>
        </is>
      </c>
      <c r="C149" s="28" t="inlineStr">
        <is>
          <t xml:space="preserve">RG20343141874 </t>
        </is>
      </c>
      <c r="D149" s="28" t="inlineStr">
        <is>
          <t>K</t>
        </is>
      </c>
      <c r="E149" s="27" t="inlineStr">
        <is>
          <t xml:space="preserve"> Rate 05/25</t>
        </is>
      </c>
      <c r="F149" s="29" t="n">
        <v>37.34</v>
      </c>
      <c r="G149" s="29" t="n">
        <v>44.54</v>
      </c>
      <c r="H149" s="30" t="inlineStr">
        <is>
          <t>X</t>
        </is>
      </c>
      <c r="I149" s="30" t="inlineStr">
        <is>
          <t>A</t>
        </is>
      </c>
      <c r="J149" s="31" t="inlineStr">
        <is>
          <t>M</t>
        </is>
      </c>
      <c r="K149" s="50" t="n"/>
      <c r="L149" s="50" t="n"/>
      <c r="M149" s="49" t="n"/>
      <c r="N149" s="31" t="n"/>
      <c r="O149" s="12">
        <f>IF(tb_rechnungen[[#This Row],[Re-Datum]]&gt;0,MONTH(tb_rechnungen[[#This Row],[Re-Datum]]),"")</f>
        <v/>
      </c>
      <c r="P149" s="13">
        <f>IF(tb_rechnungen[[#This Row],[Re-Datum]]&gt;0,YEAR(tb_rechnungen[[#This Row],[Re-Datum]]),"")</f>
        <v/>
      </c>
      <c r="Q149" s="19">
        <f>IF(tb_rechnungen[[#This Row],[Brutto]]&lt;&gt;0,tb_rechnungen[[#This Row],[Brutto]]-tb_rechnungen[[#This Row],[Netto]],"")</f>
        <v/>
      </c>
      <c r="R149" s="37">
        <f>IF(tb_rechnungen[[#This Row],[Netto]]&lt;&gt;0,ROUND(tb_rechnungen[[#This Row],[Steuer]]/tb_rechnungen[[#This Row],[Netto]],2),"")</f>
        <v/>
      </c>
    </row>
    <row r="150" hidden="1">
      <c r="A150" s="26" t="n">
        <v>45779</v>
      </c>
      <c r="B150" s="27" t="inlineStr">
        <is>
          <t>Elovade Ebertlang</t>
        </is>
      </c>
      <c r="C150" s="28" t="inlineStr">
        <is>
          <t>R1152599</t>
        </is>
      </c>
      <c r="D150" s="28" t="inlineStr">
        <is>
          <t>E</t>
        </is>
      </c>
      <c r="E150" s="27" t="inlineStr">
        <is>
          <t>Mailstore +50User bis 12.2027 ENK</t>
        </is>
      </c>
      <c r="F150" s="29" t="n">
        <v>1122</v>
      </c>
      <c r="G150" s="29" t="n">
        <v>1335.18</v>
      </c>
      <c r="H150" s="30" t="inlineStr">
        <is>
          <t>X</t>
        </is>
      </c>
      <c r="I150" s="30" t="inlineStr">
        <is>
          <t>A</t>
        </is>
      </c>
      <c r="J150" s="31" t="inlineStr">
        <is>
          <t>M</t>
        </is>
      </c>
      <c r="K150" s="50" t="n"/>
      <c r="L150" s="50" t="n"/>
      <c r="M150" s="49" t="n"/>
      <c r="N150" s="31" t="n"/>
      <c r="O150" s="12">
        <f>IF(tb_rechnungen[[#This Row],[Re-Datum]]&gt;0,MONTH(tb_rechnungen[[#This Row],[Re-Datum]]),"")</f>
        <v/>
      </c>
      <c r="P150" s="13">
        <f>IF(tb_rechnungen[[#This Row],[Re-Datum]]&gt;0,YEAR(tb_rechnungen[[#This Row],[Re-Datum]]),"")</f>
        <v/>
      </c>
      <c r="Q150" s="19">
        <f>IF(tb_rechnungen[[#This Row],[Brutto]]&lt;&gt;0,tb_rechnungen[[#This Row],[Brutto]]-tb_rechnungen[[#This Row],[Netto]],"")</f>
        <v/>
      </c>
      <c r="R150" s="37">
        <f>IF(tb_rechnungen[[#This Row],[Netto]]&lt;&gt;0,ROUND(tb_rechnungen[[#This Row],[Steuer]]/tb_rechnungen[[#This Row],[Netto]],2),"")</f>
        <v/>
      </c>
    </row>
    <row r="151" hidden="1">
      <c r="A151" s="26" t="n">
        <v>45779</v>
      </c>
      <c r="B151" s="27" t="inlineStr">
        <is>
          <t>Haus&amp;Grund</t>
        </is>
      </c>
      <c r="C151" s="28" t="inlineStr">
        <is>
          <t>Miete 05/2025</t>
        </is>
      </c>
      <c r="D151" s="28" t="inlineStr">
        <is>
          <t>K</t>
        </is>
      </c>
      <c r="E151" s="27" t="inlineStr">
        <is>
          <t>Miete</t>
        </is>
      </c>
      <c r="F151" s="29" t="n">
        <v>225</v>
      </c>
      <c r="G151" s="29" t="n">
        <v>225</v>
      </c>
      <c r="H151" s="30" t="inlineStr">
        <is>
          <t>X</t>
        </is>
      </c>
      <c r="I151" s="30" t="inlineStr">
        <is>
          <t>D</t>
        </is>
      </c>
      <c r="J151" s="30" t="inlineStr">
        <is>
          <t>M</t>
        </is>
      </c>
      <c r="K151" s="50" t="n"/>
      <c r="L151" s="50" t="n"/>
      <c r="M151" s="49" t="n"/>
      <c r="N151" s="31" t="n"/>
      <c r="O151" s="12">
        <f>IF(tb_rechnungen[[#This Row],[Re-Datum]]&gt;0,MONTH(tb_rechnungen[[#This Row],[Re-Datum]]),"")</f>
        <v/>
      </c>
      <c r="P151" s="13">
        <f>IF(tb_rechnungen[[#This Row],[Re-Datum]]&gt;0,YEAR(tb_rechnungen[[#This Row],[Re-Datum]]),"")</f>
        <v/>
      </c>
      <c r="Q151" s="19">
        <f>IF(tb_rechnungen[[#This Row],[Brutto]]&lt;&gt;0,tb_rechnungen[[#This Row],[Brutto]]-tb_rechnungen[[#This Row],[Netto]],"")</f>
        <v/>
      </c>
      <c r="R151" s="37">
        <f>IF(tb_rechnungen[[#This Row],[Netto]]&lt;&gt;0,ROUND(tb_rechnungen[[#This Row],[Steuer]]/tb_rechnungen[[#This Row],[Netto]],2),"")</f>
        <v/>
      </c>
    </row>
    <row r="152" hidden="1">
      <c r="A152" s="26" t="n">
        <v>45782</v>
      </c>
      <c r="B152" s="27" t="inlineStr">
        <is>
          <t>OpenAI</t>
        </is>
      </c>
      <c r="C152" s="28" t="inlineStr">
        <is>
          <t>7J06MMBJ-0001</t>
        </is>
      </c>
      <c r="D152" s="28" t="inlineStr">
        <is>
          <t>K</t>
        </is>
      </c>
      <c r="E152" s="27" t="inlineStr">
        <is>
          <t>Abr. 05.05.25 - 05.06.25 ,  20$</t>
        </is>
      </c>
      <c r="F152" s="29" t="n">
        <v>17.74</v>
      </c>
      <c r="G152" s="29" t="n">
        <v>17.74</v>
      </c>
      <c r="H152" s="30" t="inlineStr">
        <is>
          <t>X</t>
        </is>
      </c>
      <c r="I152" s="30" t="inlineStr">
        <is>
          <t>A</t>
        </is>
      </c>
      <c r="J152" s="31" t="inlineStr">
        <is>
          <t>M</t>
        </is>
      </c>
      <c r="K152" s="50" t="n"/>
      <c r="L152" s="50" t="n"/>
      <c r="M152" s="49" t="n"/>
      <c r="N152" s="30" t="inlineStr">
        <is>
          <t>FX</t>
        </is>
      </c>
      <c r="O152" s="12">
        <f>IF(tb_rechnungen[[#This Row],[Re-Datum]]&gt;0,MONTH(tb_rechnungen[[#This Row],[Re-Datum]]),"")</f>
        <v/>
      </c>
      <c r="P152" s="13">
        <f>IF(tb_rechnungen[[#This Row],[Re-Datum]]&gt;0,YEAR(tb_rechnungen[[#This Row],[Re-Datum]]),"")</f>
        <v/>
      </c>
      <c r="Q152" s="19">
        <f>IF(tb_rechnungen[[#This Row],[Brutto]]&lt;&gt;0,tb_rechnungen[[#This Row],[Brutto]]-tb_rechnungen[[#This Row],[Netto]],"")</f>
        <v/>
      </c>
      <c r="R152" s="37">
        <f>IF(tb_rechnungen[[#This Row],[Netto]]&lt;&gt;0,ROUND(tb_rechnungen[[#This Row],[Steuer]]/tb_rechnungen[[#This Row],[Netto]],2),"")</f>
        <v/>
      </c>
    </row>
    <row r="153" hidden="1">
      <c r="A153" s="26" t="n">
        <v>45784</v>
      </c>
      <c r="B153" s="27" t="inlineStr">
        <is>
          <t>Wortmann</t>
        </is>
      </c>
      <c r="C153" s="28" t="inlineStr">
        <is>
          <t xml:space="preserve">DR8625919 </t>
        </is>
      </c>
      <c r="D153" s="28" t="inlineStr">
        <is>
          <t>E</t>
        </is>
      </c>
      <c r="E153" s="27" t="inlineStr">
        <is>
          <t>Carbonite Backup VEH April</t>
        </is>
      </c>
      <c r="F153" s="29" t="n">
        <v>9.9</v>
      </c>
      <c r="G153" s="29" t="n">
        <v>11.78</v>
      </c>
      <c r="H153" s="30" t="inlineStr">
        <is>
          <t>X</t>
        </is>
      </c>
      <c r="I153" s="30" t="inlineStr">
        <is>
          <t>Z</t>
        </is>
      </c>
      <c r="J153" s="31" t="inlineStr">
        <is>
          <t>M</t>
        </is>
      </c>
      <c r="K153" s="50" t="n"/>
      <c r="L153" s="50" t="n"/>
      <c r="M153" s="49" t="n"/>
      <c r="N153" s="31" t="n"/>
      <c r="O153" s="12">
        <f>IF(tb_rechnungen[[#This Row],[Re-Datum]]&gt;0,MONTH(tb_rechnungen[[#This Row],[Re-Datum]]),"")</f>
        <v/>
      </c>
      <c r="P153" s="13">
        <f>IF(tb_rechnungen[[#This Row],[Re-Datum]]&gt;0,YEAR(tb_rechnungen[[#This Row],[Re-Datum]]),"")</f>
        <v/>
      </c>
      <c r="Q153" s="19">
        <f>IF(tb_rechnungen[[#This Row],[Brutto]]&lt;&gt;0,tb_rechnungen[[#This Row],[Brutto]]-tb_rechnungen[[#This Row],[Netto]],"")</f>
        <v/>
      </c>
      <c r="R153" s="37">
        <f>IF(tb_rechnungen[[#This Row],[Netto]]&lt;&gt;0,ROUND(tb_rechnungen[[#This Row],[Steuer]]/tb_rechnungen[[#This Row],[Netto]],2),"")</f>
        <v/>
      </c>
    </row>
    <row r="154" hidden="1">
      <c r="A154" s="26" t="n">
        <v>45786</v>
      </c>
      <c r="B154" s="27" t="inlineStr">
        <is>
          <t>Sage</t>
        </is>
      </c>
      <c r="C154" s="28" t="inlineStr">
        <is>
          <t xml:space="preserve">2025-1180618 </t>
        </is>
      </c>
      <c r="D154" s="28" t="inlineStr">
        <is>
          <t>K</t>
        </is>
      </c>
      <c r="E154" s="27" t="inlineStr">
        <is>
          <t>HR-Cloud 5 MA April</t>
        </is>
      </c>
      <c r="F154" s="29" t="n">
        <v>27.2</v>
      </c>
      <c r="G154" s="29" t="n">
        <v>32.37</v>
      </c>
      <c r="H154" s="30" t="inlineStr">
        <is>
          <t>X</t>
        </is>
      </c>
      <c r="I154" s="30" t="inlineStr">
        <is>
          <t>A</t>
        </is>
      </c>
      <c r="J154" s="31" t="inlineStr">
        <is>
          <t>M</t>
        </is>
      </c>
      <c r="K154" s="50" t="n"/>
      <c r="L154" s="50" t="n"/>
      <c r="M154" s="49" t="n"/>
      <c r="N154" s="31" t="n"/>
      <c r="O154" s="12">
        <f>IF(tb_rechnungen[[#This Row],[Re-Datum]]&gt;0,MONTH(tb_rechnungen[[#This Row],[Re-Datum]]),"")</f>
        <v/>
      </c>
      <c r="P154" s="13">
        <f>IF(tb_rechnungen[[#This Row],[Re-Datum]]&gt;0,YEAR(tb_rechnungen[[#This Row],[Re-Datum]]),"")</f>
        <v/>
      </c>
      <c r="Q154" s="19">
        <f>IF(tb_rechnungen[[#This Row],[Brutto]]&lt;&gt;0,tb_rechnungen[[#This Row],[Brutto]]-tb_rechnungen[[#This Row],[Netto]],"")</f>
        <v/>
      </c>
      <c r="R154" s="37">
        <f>IF(tb_rechnungen[[#This Row],[Netto]]&lt;&gt;0,ROUND(tb_rechnungen[[#This Row],[Steuer]]/tb_rechnungen[[#This Row],[Netto]],2),"")</f>
        <v/>
      </c>
    </row>
    <row r="155" hidden="1">
      <c r="A155" s="26" t="n">
        <v>45786</v>
      </c>
      <c r="B155" s="27" t="inlineStr">
        <is>
          <t>Ratiokontakt</t>
        </is>
      </c>
      <c r="C155" s="28" t="inlineStr">
        <is>
          <t>R10875864</t>
        </is>
      </c>
      <c r="D155" s="28" t="inlineStr">
        <is>
          <t>E</t>
        </is>
      </c>
      <c r="E155" s="27" t="inlineStr">
        <is>
          <t>Bis 16.05.2025</t>
        </is>
      </c>
      <c r="F155" s="29" t="n">
        <v>36.98</v>
      </c>
      <c r="G155" s="29" t="n">
        <v>44.01</v>
      </c>
      <c r="H155" s="30" t="inlineStr">
        <is>
          <t>X</t>
        </is>
      </c>
      <c r="I155" s="30" t="inlineStr">
        <is>
          <t>Z</t>
        </is>
      </c>
      <c r="J155" s="31" t="inlineStr">
        <is>
          <t>M</t>
        </is>
      </c>
      <c r="K155" s="50" t="n"/>
      <c r="L155" s="50" t="n"/>
      <c r="M155" s="49" t="n"/>
      <c r="N155" s="31" t="n"/>
      <c r="O155" s="12">
        <f>IF(tb_rechnungen[[#This Row],[Re-Datum]]&gt;0,MONTH(tb_rechnungen[[#This Row],[Re-Datum]]),"")</f>
        <v/>
      </c>
      <c r="P155" s="13">
        <f>IF(tb_rechnungen[[#This Row],[Re-Datum]]&gt;0,YEAR(tb_rechnungen[[#This Row],[Re-Datum]]),"")</f>
        <v/>
      </c>
      <c r="Q155" s="19">
        <f>IF(tb_rechnungen[[#This Row],[Brutto]]&lt;&gt;0,tb_rechnungen[[#This Row],[Brutto]]-tb_rechnungen[[#This Row],[Netto]],"")</f>
        <v/>
      </c>
      <c r="R155" s="37">
        <f>IF(tb_rechnungen[[#This Row],[Netto]]&lt;&gt;0,ROUND(tb_rechnungen[[#This Row],[Steuer]]/tb_rechnungen[[#This Row],[Netto]],2),"")</f>
        <v/>
      </c>
    </row>
    <row r="156" hidden="1">
      <c r="A156" s="26" t="n">
        <v>45789</v>
      </c>
      <c r="B156" s="27" t="inlineStr">
        <is>
          <t>OfficePartner</t>
        </is>
      </c>
      <c r="C156" s="28" t="inlineStr">
        <is>
          <t>R55327317</t>
        </is>
      </c>
      <c r="D156" s="28" t="inlineStr">
        <is>
          <t>E</t>
        </is>
      </c>
      <c r="E156" s="27" t="inlineStr">
        <is>
          <t>Brother MFC-L8690CDW  für VEH</t>
        </is>
      </c>
      <c r="F156" s="29" t="n">
        <v>461.34</v>
      </c>
      <c r="G156" s="29" t="n">
        <v>548.99</v>
      </c>
      <c r="H156" s="30" t="inlineStr">
        <is>
          <t>X</t>
        </is>
      </c>
      <c r="I156" s="30" t="inlineStr">
        <is>
          <t>Z</t>
        </is>
      </c>
      <c r="J156" s="31" t="inlineStr">
        <is>
          <t>M</t>
        </is>
      </c>
      <c r="K156" s="50" t="n"/>
      <c r="L156" s="50" t="n"/>
      <c r="M156" s="49" t="n"/>
      <c r="N156" s="31" t="n"/>
      <c r="O156" s="12">
        <f>IF(tb_rechnungen[[#This Row],[Re-Datum]]&gt;0,MONTH(tb_rechnungen[[#This Row],[Re-Datum]]),"")</f>
        <v/>
      </c>
      <c r="P156" s="13">
        <f>IF(tb_rechnungen[[#This Row],[Re-Datum]]&gt;0,YEAR(tb_rechnungen[[#This Row],[Re-Datum]]),"")</f>
        <v/>
      </c>
      <c r="Q156" s="19">
        <f>IF(tb_rechnungen[[#This Row],[Brutto]]&lt;&gt;0,tb_rechnungen[[#This Row],[Brutto]]-tb_rechnungen[[#This Row],[Netto]],"")</f>
        <v/>
      </c>
      <c r="R156" s="37">
        <f>IF(tb_rechnungen[[#This Row],[Netto]]&lt;&gt;0,ROUND(tb_rechnungen[[#This Row],[Steuer]]/tb_rechnungen[[#This Row],[Netto]],2),"")</f>
        <v/>
      </c>
    </row>
    <row r="157" hidden="1">
      <c r="A157" s="26" t="n">
        <v>45790</v>
      </c>
      <c r="B157" s="27" t="inlineStr">
        <is>
          <t>Telekom</t>
        </is>
      </c>
      <c r="C157" s="28" t="inlineStr">
        <is>
          <t>R34595701000551</t>
        </is>
      </c>
      <c r="D157" s="28" t="inlineStr">
        <is>
          <t>K</t>
        </is>
      </c>
      <c r="E157" s="27" t="inlineStr">
        <is>
          <t>Schulze mobil April</t>
        </is>
      </c>
      <c r="F157" s="29" t="n">
        <v>12.56</v>
      </c>
      <c r="G157" s="29" t="n">
        <v>14.95</v>
      </c>
      <c r="H157" s="30" t="inlineStr">
        <is>
          <t>X</t>
        </is>
      </c>
      <c r="I157" s="30" t="inlineStr">
        <is>
          <t>A</t>
        </is>
      </c>
      <c r="J157" s="31" t="inlineStr">
        <is>
          <t>M</t>
        </is>
      </c>
      <c r="K157" s="50" t="n"/>
      <c r="L157" s="50" t="n"/>
      <c r="M157" s="49" t="n"/>
      <c r="N157" s="31" t="n"/>
      <c r="O157" s="12">
        <f>IF(tb_rechnungen[[#This Row],[Re-Datum]]&gt;0,MONTH(tb_rechnungen[[#This Row],[Re-Datum]]),"")</f>
        <v/>
      </c>
      <c r="P157" s="13">
        <f>IF(tb_rechnungen[[#This Row],[Re-Datum]]&gt;0,YEAR(tb_rechnungen[[#This Row],[Re-Datum]]),"")</f>
        <v/>
      </c>
      <c r="Q157" s="19">
        <f>IF(tb_rechnungen[[#This Row],[Brutto]]&lt;&gt;0,tb_rechnungen[[#This Row],[Brutto]]-tb_rechnungen[[#This Row],[Netto]],"")</f>
        <v/>
      </c>
      <c r="R157" s="37">
        <f>IF(tb_rechnungen[[#This Row],[Netto]]&lt;&gt;0,ROUND(tb_rechnungen[[#This Row],[Steuer]]/tb_rechnungen[[#This Row],[Netto]],2),"")</f>
        <v/>
      </c>
    </row>
    <row r="158" hidden="1">
      <c r="A158" s="26" t="n">
        <v>45791</v>
      </c>
      <c r="B158" s="27" t="inlineStr">
        <is>
          <t>Starbuero</t>
        </is>
      </c>
      <c r="C158" s="28" t="inlineStr">
        <is>
          <t>SB2025-18378</t>
        </is>
      </c>
      <c r="D158" s="28" t="inlineStr">
        <is>
          <t>K</t>
        </is>
      </c>
      <c r="E158" s="27" t="inlineStr">
        <is>
          <t>Abrechnung April</t>
        </is>
      </c>
      <c r="F158" s="29" t="n">
        <v>29.31</v>
      </c>
      <c r="G158" s="29" t="n">
        <v>34.88</v>
      </c>
      <c r="H158" s="30" t="inlineStr">
        <is>
          <t>X</t>
        </is>
      </c>
      <c r="I158" s="30" t="inlineStr">
        <is>
          <t>Z</t>
        </is>
      </c>
      <c r="J158" s="31" t="inlineStr">
        <is>
          <t>M</t>
        </is>
      </c>
      <c r="K158" s="50" t="n"/>
      <c r="L158" s="50" t="n"/>
      <c r="M158" s="49" t="n"/>
      <c r="N158" s="31" t="n"/>
      <c r="O158" s="12">
        <f>IF(tb_rechnungen[[#This Row],[Re-Datum]]&gt;0,MONTH(tb_rechnungen[[#This Row],[Re-Datum]]),"")</f>
        <v/>
      </c>
      <c r="P158" s="13">
        <f>IF(tb_rechnungen[[#This Row],[Re-Datum]]&gt;0,YEAR(tb_rechnungen[[#This Row],[Re-Datum]]),"")</f>
        <v/>
      </c>
      <c r="Q158" s="19">
        <f>IF(tb_rechnungen[[#This Row],[Brutto]]&lt;&gt;0,tb_rechnungen[[#This Row],[Brutto]]-tb_rechnungen[[#This Row],[Netto]],"")</f>
        <v/>
      </c>
      <c r="R158" s="37">
        <f>IF(tb_rechnungen[[#This Row],[Netto]]&lt;&gt;0,ROUND(tb_rechnungen[[#This Row],[Steuer]]/tb_rechnungen[[#This Row],[Netto]],2),"")</f>
        <v/>
      </c>
    </row>
    <row r="159" hidden="1">
      <c r="A159" s="26" t="n">
        <v>45792</v>
      </c>
      <c r="B159" s="27" t="inlineStr">
        <is>
          <t>GEZ</t>
        </is>
      </c>
      <c r="C159" s="28" t="inlineStr">
        <is>
          <t>Q1/2025</t>
        </is>
      </c>
      <c r="D159" s="28" t="inlineStr">
        <is>
          <t>K</t>
        </is>
      </c>
      <c r="E159" s="27" t="inlineStr">
        <is>
          <t xml:space="preserve">Rundfunkbeitrag </t>
        </is>
      </c>
      <c r="F159" s="29" t="n">
        <v>91.8</v>
      </c>
      <c r="G159" s="29" t="n">
        <v>91.8</v>
      </c>
      <c r="H159" s="30" t="inlineStr">
        <is>
          <t>X</t>
        </is>
      </c>
      <c r="I159" s="30" t="inlineStr">
        <is>
          <t>A</t>
        </is>
      </c>
      <c r="J159" s="30" t="inlineStr">
        <is>
          <t>M</t>
        </is>
      </c>
      <c r="K159" s="50" t="n"/>
      <c r="L159" s="50" t="n"/>
      <c r="M159" s="49" t="n"/>
      <c r="N159" s="31" t="n"/>
      <c r="O159" s="12">
        <f>IF(tb_rechnungen[[#This Row],[Re-Datum]]&gt;0,MONTH(tb_rechnungen[[#This Row],[Re-Datum]]),"")</f>
        <v/>
      </c>
      <c r="P159" s="13">
        <f>IF(tb_rechnungen[[#This Row],[Re-Datum]]&gt;0,YEAR(tb_rechnungen[[#This Row],[Re-Datum]]),"")</f>
        <v/>
      </c>
      <c r="Q159" s="19">
        <f>IF(tb_rechnungen[[#This Row],[Brutto]]&lt;&gt;0,tb_rechnungen[[#This Row],[Brutto]]-tb_rechnungen[[#This Row],[Netto]],"")</f>
        <v/>
      </c>
      <c r="R159" s="37">
        <f>IF(tb_rechnungen[[#This Row],[Netto]]&lt;&gt;0,ROUND(tb_rechnungen[[#This Row],[Steuer]]/tb_rechnungen[[#This Row],[Netto]],2),"")</f>
        <v/>
      </c>
    </row>
    <row r="160" hidden="1">
      <c r="A160" s="26" t="n">
        <v>45792</v>
      </c>
      <c r="B160" s="27" t="inlineStr">
        <is>
          <t>Telekom</t>
        </is>
      </c>
      <c r="C160" s="28" t="inlineStr">
        <is>
          <t>R7788756166</t>
        </is>
      </c>
      <c r="D160" s="28" t="inlineStr">
        <is>
          <t>K</t>
        </is>
      </c>
      <c r="E160" s="27" t="inlineStr">
        <is>
          <t>Schulze Mai</t>
        </is>
      </c>
      <c r="F160" s="29" t="n">
        <v>33.57</v>
      </c>
      <c r="G160" s="29" t="n">
        <v>39.95</v>
      </c>
      <c r="H160" s="30" t="inlineStr">
        <is>
          <t>X</t>
        </is>
      </c>
      <c r="I160" s="30" t="inlineStr">
        <is>
          <t>A</t>
        </is>
      </c>
      <c r="J160" s="31" t="inlineStr">
        <is>
          <t>M</t>
        </is>
      </c>
      <c r="K160" s="50" t="n"/>
      <c r="L160" s="50" t="n"/>
      <c r="M160" s="49" t="n"/>
      <c r="N160" s="31" t="n"/>
      <c r="O160" s="12">
        <f>IF(tb_rechnungen[[#This Row],[Re-Datum]]&gt;0,MONTH(tb_rechnungen[[#This Row],[Re-Datum]]),"")</f>
        <v/>
      </c>
      <c r="P160" s="13">
        <f>IF(tb_rechnungen[[#This Row],[Re-Datum]]&gt;0,YEAR(tb_rechnungen[[#This Row],[Re-Datum]]),"")</f>
        <v/>
      </c>
      <c r="Q160" s="19">
        <f>IF(tb_rechnungen[[#This Row],[Brutto]]&lt;&gt;0,tb_rechnungen[[#This Row],[Brutto]]-tb_rechnungen[[#This Row],[Netto]],"")</f>
        <v/>
      </c>
      <c r="R160" s="37">
        <f>IF(tb_rechnungen[[#This Row],[Netto]]&lt;&gt;0,ROUND(tb_rechnungen[[#This Row],[Steuer]]/tb_rechnungen[[#This Row],[Netto]],2),"")</f>
        <v/>
      </c>
    </row>
    <row r="161" hidden="1">
      <c r="A161" s="26" t="n">
        <v>45792</v>
      </c>
      <c r="B161" s="27" t="inlineStr">
        <is>
          <t>Blau</t>
        </is>
      </c>
      <c r="C161" s="28" t="inlineStr">
        <is>
          <t>1260868407/08</t>
        </is>
      </c>
      <c r="D161" s="28" t="inlineStr">
        <is>
          <t>K</t>
        </is>
      </c>
      <c r="E161" s="27" t="inlineStr">
        <is>
          <t>Faszl Mai</t>
        </is>
      </c>
      <c r="F161" s="29" t="n">
        <v>6.71</v>
      </c>
      <c r="G161" s="29" t="n">
        <v>7.99</v>
      </c>
      <c r="H161" s="30" t="inlineStr">
        <is>
          <t>X</t>
        </is>
      </c>
      <c r="I161" s="30" t="inlineStr">
        <is>
          <t>A</t>
        </is>
      </c>
      <c r="J161" s="31" t="inlineStr">
        <is>
          <t>M</t>
        </is>
      </c>
      <c r="K161" s="50" t="n"/>
      <c r="L161" s="50" t="n"/>
      <c r="M161" s="49" t="n"/>
      <c r="N161" s="31" t="n"/>
      <c r="O161" s="12">
        <f>IF(tb_rechnungen[[#This Row],[Re-Datum]]&gt;0,MONTH(tb_rechnungen[[#This Row],[Re-Datum]]),"")</f>
        <v/>
      </c>
      <c r="P161" s="13">
        <f>IF(tb_rechnungen[[#This Row],[Re-Datum]]&gt;0,YEAR(tb_rechnungen[[#This Row],[Re-Datum]]),"")</f>
        <v/>
      </c>
      <c r="Q161" s="19">
        <f>IF(tb_rechnungen[[#This Row],[Brutto]]&lt;&gt;0,tb_rechnungen[[#This Row],[Brutto]]-tb_rechnungen[[#This Row],[Netto]],"")</f>
        <v/>
      </c>
      <c r="R161" s="37">
        <f>IF(tb_rechnungen[[#This Row],[Netto]]&lt;&gt;0,ROUND(tb_rechnungen[[#This Row],[Steuer]]/tb_rechnungen[[#This Row],[Netto]],2),"")</f>
        <v/>
      </c>
    </row>
    <row r="162" hidden="1">
      <c r="A162" s="26" t="n">
        <v>45792</v>
      </c>
      <c r="B162" s="27" t="inlineStr">
        <is>
          <t>Wolkesicher</t>
        </is>
      </c>
      <c r="C162" s="28" t="inlineStr">
        <is>
          <t>R386213</t>
        </is>
      </c>
      <c r="D162" s="28" t="inlineStr">
        <is>
          <t>K</t>
        </is>
      </c>
      <c r="E162" s="27" t="inlineStr">
        <is>
          <t>nc2.uhde.de 0&amp;/2025</t>
        </is>
      </c>
      <c r="F162" s="29" t="n">
        <v>4.19</v>
      </c>
      <c r="G162" s="29" t="n">
        <v>4.99</v>
      </c>
      <c r="H162" s="30" t="inlineStr">
        <is>
          <t>X</t>
        </is>
      </c>
      <c r="I162" s="30" t="inlineStr">
        <is>
          <t>A</t>
        </is>
      </c>
      <c r="J162" s="31" t="inlineStr">
        <is>
          <t>M</t>
        </is>
      </c>
      <c r="K162" s="50" t="n"/>
      <c r="L162" s="50" t="n"/>
      <c r="M162" s="49" t="n"/>
      <c r="N162" s="31" t="n"/>
      <c r="O162" s="12">
        <f>IF(tb_rechnungen[[#This Row],[Re-Datum]]&gt;0,MONTH(tb_rechnungen[[#This Row],[Re-Datum]]),"")</f>
        <v/>
      </c>
      <c r="P162" s="13">
        <f>IF(tb_rechnungen[[#This Row],[Re-Datum]]&gt;0,YEAR(tb_rechnungen[[#This Row],[Re-Datum]]),"")</f>
        <v/>
      </c>
      <c r="Q162" s="19">
        <f>IF(tb_rechnungen[[#This Row],[Brutto]]&lt;&gt;0,tb_rechnungen[[#This Row],[Brutto]]-tb_rechnungen[[#This Row],[Netto]],"")</f>
        <v/>
      </c>
      <c r="R162" s="37">
        <f>IF(tb_rechnungen[[#This Row],[Netto]]&lt;&gt;0,ROUND(tb_rechnungen[[#This Row],[Steuer]]/tb_rechnungen[[#This Row],[Netto]],2),"")</f>
        <v/>
      </c>
    </row>
    <row r="163" hidden="1">
      <c r="A163" s="26" t="n">
        <v>45792</v>
      </c>
      <c r="B163" s="27" t="inlineStr">
        <is>
          <t>DKV</t>
        </is>
      </c>
      <c r="C163" s="28" t="inlineStr">
        <is>
          <t>25-643780998-001</t>
        </is>
      </c>
      <c r="D163" s="28" t="inlineStr">
        <is>
          <t>K</t>
        </is>
      </c>
      <c r="E163" s="27" t="inlineStr">
        <is>
          <t>Mail 2025</t>
        </is>
      </c>
      <c r="F163" s="29" t="n">
        <v>89.09999999999999</v>
      </c>
      <c r="G163" s="29" t="n">
        <v>106.03</v>
      </c>
      <c r="H163" s="30" t="inlineStr">
        <is>
          <t>X</t>
        </is>
      </c>
      <c r="I163" s="30" t="inlineStr">
        <is>
          <t>A</t>
        </is>
      </c>
      <c r="J163" s="31" t="inlineStr">
        <is>
          <t>M</t>
        </is>
      </c>
      <c r="K163" s="50" t="n"/>
      <c r="L163" s="50" t="n"/>
      <c r="M163" s="49" t="n"/>
      <c r="N163" s="31" t="n"/>
      <c r="O163" s="12">
        <f>IF(tb_rechnungen[[#This Row],[Re-Datum]]&gt;0,MONTH(tb_rechnungen[[#This Row],[Re-Datum]]),"")</f>
        <v/>
      </c>
      <c r="P163" s="13">
        <f>IF(tb_rechnungen[[#This Row],[Re-Datum]]&gt;0,YEAR(tb_rechnungen[[#This Row],[Re-Datum]]),"")</f>
        <v/>
      </c>
      <c r="Q163" s="19">
        <f>IF(tb_rechnungen[[#This Row],[Brutto]]&lt;&gt;0,tb_rechnungen[[#This Row],[Brutto]]-tb_rechnungen[[#This Row],[Netto]],"")</f>
        <v/>
      </c>
      <c r="R163" s="37">
        <f>IF(tb_rechnungen[[#This Row],[Netto]]&lt;&gt;0,ROUND(tb_rechnungen[[#This Row],[Steuer]]/tb_rechnungen[[#This Row],[Netto]],2),"")</f>
        <v/>
      </c>
    </row>
    <row r="164" hidden="1">
      <c r="A164" s="26" t="n">
        <v>45796</v>
      </c>
      <c r="B164" s="27" t="inlineStr">
        <is>
          <t>Thomas-Krenn.AG</t>
        </is>
      </c>
      <c r="C164" s="28" t="inlineStr">
        <is>
          <t xml:space="preserve">AR20253862 </t>
        </is>
      </c>
      <c r="D164" s="28" t="inlineStr">
        <is>
          <t>E</t>
        </is>
      </c>
      <c r="E164" s="27" t="inlineStr">
        <is>
          <t>SSDs WFB (Freigabe Sz)</t>
        </is>
      </c>
      <c r="F164" s="29" t="n">
        <v>391.38</v>
      </c>
      <c r="G164" s="29" t="n">
        <v>465.75</v>
      </c>
      <c r="H164" s="30" t="inlineStr">
        <is>
          <t>X</t>
        </is>
      </c>
      <c r="I164" s="30" t="inlineStr">
        <is>
          <t>Z</t>
        </is>
      </c>
      <c r="J164" s="31" t="inlineStr">
        <is>
          <t>M</t>
        </is>
      </c>
      <c r="K164" s="50" t="n"/>
      <c r="L164" s="50" t="n"/>
      <c r="M164" s="49" t="n"/>
      <c r="N164" s="31" t="n"/>
      <c r="O164" s="12">
        <f>IF(tb_rechnungen[[#This Row],[Re-Datum]]&gt;0,MONTH(tb_rechnungen[[#This Row],[Re-Datum]]),"")</f>
        <v/>
      </c>
      <c r="P164" s="13">
        <f>IF(tb_rechnungen[[#This Row],[Re-Datum]]&gt;0,YEAR(tb_rechnungen[[#This Row],[Re-Datum]]),"")</f>
        <v/>
      </c>
      <c r="Q164" s="19">
        <f>IF(tb_rechnungen[[#This Row],[Brutto]]&lt;&gt;0,tb_rechnungen[[#This Row],[Brutto]]-tb_rechnungen[[#This Row],[Netto]],"")</f>
        <v/>
      </c>
      <c r="R164" s="37">
        <f>IF(tb_rechnungen[[#This Row],[Netto]]&lt;&gt;0,ROUND(tb_rechnungen[[#This Row],[Steuer]]/tb_rechnungen[[#This Row],[Netto]],2),"")</f>
        <v/>
      </c>
    </row>
    <row r="165" hidden="1">
      <c r="A165" s="26" t="n">
        <v>45797</v>
      </c>
      <c r="B165" s="27" t="inlineStr">
        <is>
          <t>Telekom</t>
        </is>
      </c>
      <c r="C165" s="28" t="inlineStr">
        <is>
          <t>779 140 3886</t>
        </is>
      </c>
      <c r="D165" s="28" t="inlineStr">
        <is>
          <t>K</t>
        </is>
      </c>
      <c r="E165" s="27" t="inlineStr">
        <is>
          <t>Mai Faszl</t>
        </is>
      </c>
      <c r="F165" s="29" t="n">
        <v>37.77</v>
      </c>
      <c r="G165" s="29" t="n">
        <v>44.95</v>
      </c>
      <c r="H165" s="30" t="inlineStr">
        <is>
          <t>X</t>
        </is>
      </c>
      <c r="I165" s="30" t="inlineStr">
        <is>
          <t>A</t>
        </is>
      </c>
      <c r="J165" s="31" t="inlineStr">
        <is>
          <t>M</t>
        </is>
      </c>
      <c r="K165" s="50" t="n"/>
      <c r="L165" s="50" t="n"/>
      <c r="M165" s="49" t="n"/>
      <c r="N165" s="31" t="n"/>
      <c r="O165" s="12">
        <f>IF(tb_rechnungen[[#This Row],[Re-Datum]]&gt;0,MONTH(tb_rechnungen[[#This Row],[Re-Datum]]),"")</f>
        <v/>
      </c>
      <c r="P165" s="13">
        <f>IF(tb_rechnungen[[#This Row],[Re-Datum]]&gt;0,YEAR(tb_rechnungen[[#This Row],[Re-Datum]]),"")</f>
        <v/>
      </c>
      <c r="Q165" s="19">
        <f>IF(tb_rechnungen[[#This Row],[Brutto]]&lt;&gt;0,tb_rechnungen[[#This Row],[Brutto]]-tb_rechnungen[[#This Row],[Netto]],"")</f>
        <v/>
      </c>
      <c r="R165" s="37">
        <f>IF(tb_rechnungen[[#This Row],[Netto]]&lt;&gt;0,ROUND(tb_rechnungen[[#This Row],[Steuer]]/tb_rechnungen[[#This Row],[Netto]],2),"")</f>
        <v/>
      </c>
    </row>
    <row r="166" hidden="1">
      <c r="A166" s="26" t="n">
        <v>45804</v>
      </c>
      <c r="B166" s="27" t="inlineStr">
        <is>
          <t>Telekom</t>
        </is>
      </c>
      <c r="C166" s="28" t="inlineStr">
        <is>
          <t>779 533 3524</t>
        </is>
      </c>
      <c r="D166" s="28" t="inlineStr">
        <is>
          <t>K</t>
        </is>
      </c>
      <c r="E166" s="27" t="inlineStr">
        <is>
          <t>Juni LU</t>
        </is>
      </c>
      <c r="F166" s="29" t="n">
        <v>39.9</v>
      </c>
      <c r="G166" s="29" t="n">
        <v>47.48</v>
      </c>
      <c r="H166" s="30" t="inlineStr">
        <is>
          <t>X</t>
        </is>
      </c>
      <c r="I166" s="30" t="inlineStr">
        <is>
          <t>A</t>
        </is>
      </c>
      <c r="J166" s="31" t="inlineStr">
        <is>
          <t>M</t>
        </is>
      </c>
      <c r="K166" s="50" t="n"/>
      <c r="L166" s="50" t="n"/>
      <c r="M166" s="49" t="n"/>
      <c r="N166" s="31" t="n"/>
      <c r="O166" s="12">
        <f>IF(tb_rechnungen[[#This Row],[Re-Datum]]&gt;0,MONTH(tb_rechnungen[[#This Row],[Re-Datum]]),"")</f>
        <v/>
      </c>
      <c r="P166" s="13">
        <f>IF(tb_rechnungen[[#This Row],[Re-Datum]]&gt;0,YEAR(tb_rechnungen[[#This Row],[Re-Datum]]),"")</f>
        <v/>
      </c>
      <c r="Q166" s="19">
        <f>IF(tb_rechnungen[[#This Row],[Brutto]]&lt;&gt;0,tb_rechnungen[[#This Row],[Brutto]]-tb_rechnungen[[#This Row],[Netto]],"")</f>
        <v/>
      </c>
      <c r="R166" s="37">
        <f>IF(tb_rechnungen[[#This Row],[Netto]]&lt;&gt;0,ROUND(tb_rechnungen[[#This Row],[Steuer]]/tb_rechnungen[[#This Row],[Netto]],2),"")</f>
        <v/>
      </c>
    </row>
    <row r="167" hidden="1">
      <c r="A167" s="26" t="n">
        <v>45804</v>
      </c>
      <c r="B167" s="27" t="inlineStr">
        <is>
          <t>Amazon</t>
        </is>
      </c>
      <c r="C167" s="28" t="inlineStr">
        <is>
          <t>DE50012VSPGQ5I</t>
        </is>
      </c>
      <c r="D167" s="28" t="inlineStr">
        <is>
          <t>E</t>
        </is>
      </c>
      <c r="E167" s="27" t="inlineStr">
        <is>
          <t>McAfee 1Jahr 3PCs</t>
        </is>
      </c>
      <c r="F167" s="29" t="n">
        <v>9.66</v>
      </c>
      <c r="G167" s="29" t="n">
        <v>11.5</v>
      </c>
      <c r="H167" s="30" t="inlineStr">
        <is>
          <t>X</t>
        </is>
      </c>
      <c r="I167" s="30" t="inlineStr">
        <is>
          <t>Z</t>
        </is>
      </c>
      <c r="J167" s="31" t="inlineStr">
        <is>
          <t>M</t>
        </is>
      </c>
      <c r="K167" s="50" t="n"/>
      <c r="L167" s="50" t="n"/>
      <c r="M167" s="49" t="n"/>
      <c r="N167" s="31" t="n"/>
      <c r="O167" s="12">
        <f>IF(tb_rechnungen[[#This Row],[Re-Datum]]&gt;0,MONTH(tb_rechnungen[[#This Row],[Re-Datum]]),"")</f>
        <v/>
      </c>
      <c r="P167" s="13">
        <f>IF(tb_rechnungen[[#This Row],[Re-Datum]]&gt;0,YEAR(tb_rechnungen[[#This Row],[Re-Datum]]),"")</f>
        <v/>
      </c>
      <c r="Q167" s="19">
        <f>IF(tb_rechnungen[[#This Row],[Brutto]]&lt;&gt;0,tb_rechnungen[[#This Row],[Brutto]]-tb_rechnungen[[#This Row],[Netto]],"")</f>
        <v/>
      </c>
      <c r="R167" s="37">
        <f>IF(tb_rechnungen[[#This Row],[Netto]]&lt;&gt;0,ROUND(tb_rechnungen[[#This Row],[Steuer]]/tb_rechnungen[[#This Row],[Netto]],2),"")</f>
        <v/>
      </c>
    </row>
    <row r="168" hidden="1">
      <c r="A168" s="26" t="n">
        <v>45806</v>
      </c>
      <c r="B168" s="27" t="inlineStr">
        <is>
          <t>TD-Synnex</t>
        </is>
      </c>
      <c r="C168" s="28" t="inlineStr">
        <is>
          <t>R8271345461</t>
        </is>
      </c>
      <c r="D168" s="28" t="inlineStr">
        <is>
          <t>E</t>
        </is>
      </c>
      <c r="E168" s="27" t="inlineStr">
        <is>
          <t>Veeam-Lizenz</t>
        </is>
      </c>
      <c r="F168" s="29" t="n">
        <v>862.21</v>
      </c>
      <c r="G168" s="29" t="n">
        <v>1026.03</v>
      </c>
      <c r="H168" s="30" t="inlineStr">
        <is>
          <t>X</t>
        </is>
      </c>
      <c r="I168" s="30" t="inlineStr">
        <is>
          <t>Z</t>
        </is>
      </c>
      <c r="J168" s="30" t="inlineStr">
        <is>
          <t>M</t>
        </is>
      </c>
      <c r="K168" s="50" t="n"/>
      <c r="L168" s="50" t="n"/>
      <c r="M168" s="49" t="n"/>
      <c r="N168" s="31" t="n"/>
      <c r="O168" s="12">
        <f>IF(tb_rechnungen[[#This Row],[Re-Datum]]&gt;0,MONTH(tb_rechnungen[[#This Row],[Re-Datum]]),"")</f>
        <v/>
      </c>
      <c r="P168" s="13">
        <f>IF(tb_rechnungen[[#This Row],[Re-Datum]]&gt;0,YEAR(tb_rechnungen[[#This Row],[Re-Datum]]),"")</f>
        <v/>
      </c>
      <c r="Q168" s="19">
        <f>IF(tb_rechnungen[[#This Row],[Brutto]]&lt;&gt;0,tb_rechnungen[[#This Row],[Brutto]]-tb_rechnungen[[#This Row],[Netto]],"")</f>
        <v/>
      </c>
      <c r="R168" s="37">
        <f>IF(tb_rechnungen[[#This Row],[Netto]]&lt;&gt;0,ROUND(tb_rechnungen[[#This Row],[Steuer]]/tb_rechnungen[[#This Row],[Netto]],2),"")</f>
        <v/>
      </c>
    </row>
    <row r="169" hidden="1">
      <c r="A169" s="26" t="n">
        <v>45808</v>
      </c>
      <c r="B169" s="27" t="inlineStr">
        <is>
          <t>DTS NFON</t>
        </is>
      </c>
      <c r="C169" s="28" t="inlineStr">
        <is>
          <t>25-643780998-001</t>
        </is>
      </c>
      <c r="D169" s="28" t="inlineStr">
        <is>
          <t>K</t>
        </is>
      </c>
      <c r="E169" s="58" t="inlineStr">
        <is>
          <t>2025/05</t>
        </is>
      </c>
      <c r="F169" s="29" t="n">
        <v>36.24</v>
      </c>
      <c r="G169" s="29" t="n">
        <v>43.13</v>
      </c>
      <c r="H169" s="30" t="inlineStr">
        <is>
          <t>X</t>
        </is>
      </c>
      <c r="I169" s="30" t="inlineStr">
        <is>
          <t>A</t>
        </is>
      </c>
      <c r="J169" s="31" t="inlineStr">
        <is>
          <t>M</t>
        </is>
      </c>
      <c r="K169" s="50" t="n"/>
      <c r="L169" s="50" t="n"/>
      <c r="M169" s="49" t="n"/>
      <c r="N169" s="31" t="n"/>
      <c r="O169" s="12">
        <f>IF(tb_rechnungen[[#This Row],[Re-Datum]]&gt;0,MONTH(tb_rechnungen[[#This Row],[Re-Datum]]),"")</f>
        <v/>
      </c>
      <c r="P169" s="13">
        <f>IF(tb_rechnungen[[#This Row],[Re-Datum]]&gt;0,YEAR(tb_rechnungen[[#This Row],[Re-Datum]]),"")</f>
        <v/>
      </c>
      <c r="Q169" s="19">
        <f>IF(tb_rechnungen[[#This Row],[Brutto]]&lt;&gt;0,tb_rechnungen[[#This Row],[Brutto]]-tb_rechnungen[[#This Row],[Netto]],"")</f>
        <v/>
      </c>
      <c r="R169" s="37">
        <f>IF(tb_rechnungen[[#This Row],[Netto]]&lt;&gt;0,ROUND(tb_rechnungen[[#This Row],[Steuer]]/tb_rechnungen[[#This Row],[Netto]],2),"")</f>
        <v/>
      </c>
    </row>
    <row r="170" hidden="1">
      <c r="A170" s="26" t="n">
        <v>45808</v>
      </c>
      <c r="B170" s="27" t="inlineStr">
        <is>
          <t>DKV</t>
        </is>
      </c>
      <c r="C170" s="28" t="inlineStr">
        <is>
          <t>25-644107095-001</t>
        </is>
      </c>
      <c r="D170" s="28" t="inlineStr">
        <is>
          <t>K</t>
        </is>
      </c>
      <c r="E170" s="58" t="n">
        <v>45778</v>
      </c>
      <c r="F170" s="29" t="n">
        <v>83.70999999999999</v>
      </c>
      <c r="G170" s="29" t="n">
        <v>99.61</v>
      </c>
      <c r="H170" s="30" t="inlineStr">
        <is>
          <t>X</t>
        </is>
      </c>
      <c r="I170" s="30" t="inlineStr">
        <is>
          <t>A</t>
        </is>
      </c>
      <c r="J170" s="30" t="inlineStr">
        <is>
          <t>M</t>
        </is>
      </c>
      <c r="K170" s="50" t="n"/>
      <c r="L170" s="50" t="n"/>
      <c r="M170" s="49" t="n"/>
      <c r="N170" s="31" t="n"/>
      <c r="O170" s="12">
        <f>IF(tb_rechnungen[[#This Row],[Re-Datum]]&gt;0,MONTH(tb_rechnungen[[#This Row],[Re-Datum]]),"")</f>
        <v/>
      </c>
      <c r="P170" s="13">
        <f>IF(tb_rechnungen[[#This Row],[Re-Datum]]&gt;0,YEAR(tb_rechnungen[[#This Row],[Re-Datum]]),"")</f>
        <v/>
      </c>
      <c r="Q170" s="19">
        <f>IF(tb_rechnungen[[#This Row],[Brutto]]&lt;&gt;0,tb_rechnungen[[#This Row],[Brutto]]-tb_rechnungen[[#This Row],[Netto]],"")</f>
        <v/>
      </c>
      <c r="R170" s="37">
        <f>IF(tb_rechnungen[[#This Row],[Netto]]&lt;&gt;0,ROUND(tb_rechnungen[[#This Row],[Steuer]]/tb_rechnungen[[#This Row],[Netto]],2),"")</f>
        <v/>
      </c>
    </row>
    <row r="171" hidden="1">
      <c r="A171" s="26" t="n">
        <v>45809</v>
      </c>
      <c r="B171" s="27" t="inlineStr">
        <is>
          <t>VW Leasing</t>
        </is>
      </c>
      <c r="C171" s="28" t="inlineStr">
        <is>
          <t>RG10244632135</t>
        </is>
      </c>
      <c r="D171" s="28" t="inlineStr">
        <is>
          <t>K</t>
        </is>
      </c>
      <c r="E171" s="27" t="inlineStr">
        <is>
          <t>Rate 06/25</t>
        </is>
      </c>
      <c r="F171" s="29" t="n">
        <v>37.34</v>
      </c>
      <c r="G171" s="29" t="n">
        <v>44.54</v>
      </c>
      <c r="H171" s="30" t="inlineStr">
        <is>
          <t>X</t>
        </is>
      </c>
      <c r="I171" s="30" t="inlineStr">
        <is>
          <t>A</t>
        </is>
      </c>
      <c r="J171" s="31" t="inlineStr">
        <is>
          <t>M</t>
        </is>
      </c>
      <c r="K171" s="50" t="n"/>
      <c r="L171" s="50" t="n"/>
      <c r="M171" s="49" t="n"/>
      <c r="N171" s="31" t="n"/>
      <c r="O171" s="12">
        <f>IF(tb_rechnungen[[#This Row],[Re-Datum]]&gt;0,MONTH(tb_rechnungen[[#This Row],[Re-Datum]]),"")</f>
        <v/>
      </c>
      <c r="P171" s="13">
        <f>IF(tb_rechnungen[[#This Row],[Re-Datum]]&gt;0,YEAR(tb_rechnungen[[#This Row],[Re-Datum]]),"")</f>
        <v/>
      </c>
      <c r="Q171" s="19">
        <f>IF(tb_rechnungen[[#This Row],[Brutto]]&lt;&gt;0,tb_rechnungen[[#This Row],[Brutto]]-tb_rechnungen[[#This Row],[Netto]],"")</f>
        <v/>
      </c>
      <c r="R171" s="37">
        <f>IF(tb_rechnungen[[#This Row],[Netto]]&lt;&gt;0,ROUND(tb_rechnungen[[#This Row],[Steuer]]/tb_rechnungen[[#This Row],[Netto]],2),"")</f>
        <v/>
      </c>
    </row>
    <row r="172" hidden="1">
      <c r="A172" s="26" t="n">
        <v>45810</v>
      </c>
      <c r="B172" s="27" t="inlineStr">
        <is>
          <t>Haus&amp;Grund</t>
        </is>
      </c>
      <c r="C172" s="28" t="inlineStr">
        <is>
          <t>Miete 06/2025</t>
        </is>
      </c>
      <c r="D172" s="28" t="inlineStr">
        <is>
          <t>K</t>
        </is>
      </c>
      <c r="E172" s="27" t="inlineStr">
        <is>
          <t>Miete</t>
        </is>
      </c>
      <c r="F172" s="29" t="n">
        <v>225</v>
      </c>
      <c r="G172" s="29" t="n">
        <v>225</v>
      </c>
      <c r="H172" s="30" t="inlineStr">
        <is>
          <t>X</t>
        </is>
      </c>
      <c r="I172" s="30" t="inlineStr">
        <is>
          <t>D</t>
        </is>
      </c>
      <c r="J172" s="30" t="inlineStr">
        <is>
          <t>M</t>
        </is>
      </c>
      <c r="K172" s="50" t="n"/>
      <c r="L172" s="50" t="n"/>
      <c r="M172" s="49" t="n"/>
      <c r="N172" s="31" t="n"/>
      <c r="O172" s="12">
        <f>IF(tb_rechnungen[[#This Row],[Re-Datum]]&gt;0,MONTH(tb_rechnungen[[#This Row],[Re-Datum]]),"")</f>
        <v/>
      </c>
      <c r="P172" s="13">
        <f>IF(tb_rechnungen[[#This Row],[Re-Datum]]&gt;0,YEAR(tb_rechnungen[[#This Row],[Re-Datum]]),"")</f>
        <v/>
      </c>
      <c r="Q172" s="19">
        <f>IF(tb_rechnungen[[#This Row],[Brutto]]&lt;&gt;0,tb_rechnungen[[#This Row],[Brutto]]-tb_rechnungen[[#This Row],[Netto]],"")</f>
        <v/>
      </c>
      <c r="R172" s="37">
        <f>IF(tb_rechnungen[[#This Row],[Netto]]&lt;&gt;0,ROUND(tb_rechnungen[[#This Row],[Steuer]]/tb_rechnungen[[#This Row],[Netto]],2),"")</f>
        <v/>
      </c>
    </row>
    <row r="173" hidden="1">
      <c r="A173" s="26" t="n">
        <v>45814</v>
      </c>
      <c r="B173" s="27" t="inlineStr">
        <is>
          <t>IT-Anger Kassen24</t>
        </is>
      </c>
      <c r="C173" s="28" t="inlineStr">
        <is>
          <t>Re20250152</t>
        </is>
      </c>
      <c r="D173" s="28" t="inlineStr">
        <is>
          <t>E</t>
        </is>
      </c>
      <c r="E173" s="27" t="inlineStr">
        <is>
          <t>Reparatur Sumni D2mini</t>
        </is>
      </c>
      <c r="F173" s="29" t="n">
        <v>89</v>
      </c>
      <c r="G173" s="29" t="n">
        <v>105.91</v>
      </c>
      <c r="H173" s="30" t="inlineStr">
        <is>
          <t>X</t>
        </is>
      </c>
      <c r="I173" s="30" t="inlineStr">
        <is>
          <t>Z</t>
        </is>
      </c>
      <c r="J173" s="31" t="inlineStr">
        <is>
          <t>M</t>
        </is>
      </c>
      <c r="K173" s="50" t="n"/>
      <c r="L173" s="50" t="n"/>
      <c r="M173" s="49" t="n"/>
      <c r="N173" s="31" t="n"/>
      <c r="O173" s="12">
        <f>IF(tb_rechnungen[[#This Row],[Re-Datum]]&gt;0,MONTH(tb_rechnungen[[#This Row],[Re-Datum]]),"")</f>
        <v/>
      </c>
      <c r="P173" s="13">
        <f>IF(tb_rechnungen[[#This Row],[Re-Datum]]&gt;0,YEAR(tb_rechnungen[[#This Row],[Re-Datum]]),"")</f>
        <v/>
      </c>
      <c r="Q173" s="19">
        <f>IF(tb_rechnungen[[#This Row],[Brutto]]&lt;&gt;0,tb_rechnungen[[#This Row],[Brutto]]-tb_rechnungen[[#This Row],[Netto]],"")</f>
        <v/>
      </c>
      <c r="R173" s="37">
        <f>IF(tb_rechnungen[[#This Row],[Netto]]&lt;&gt;0,ROUND(tb_rechnungen[[#This Row],[Steuer]]/tb_rechnungen[[#This Row],[Netto]],2),"")</f>
        <v/>
      </c>
    </row>
    <row r="174" hidden="1">
      <c r="A174" s="26" t="n">
        <v>45814</v>
      </c>
      <c r="B174" s="27" t="inlineStr">
        <is>
          <t>TD-Synnex</t>
        </is>
      </c>
      <c r="C174" s="28" t="inlineStr">
        <is>
          <t>R8271582710</t>
        </is>
      </c>
      <c r="D174" s="28" t="inlineStr">
        <is>
          <t>E</t>
        </is>
      </c>
      <c r="E174" s="27" t="inlineStr">
        <is>
          <t>APC 1500 für rha</t>
        </is>
      </c>
      <c r="F174" s="29" t="n">
        <v>1242.41</v>
      </c>
      <c r="G174" s="29" t="n">
        <v>1478.47</v>
      </c>
      <c r="H174" s="30" t="inlineStr">
        <is>
          <t>X</t>
        </is>
      </c>
      <c r="I174" s="30" t="inlineStr">
        <is>
          <t>Z</t>
        </is>
      </c>
      <c r="J174" s="31" t="inlineStr">
        <is>
          <t>M</t>
        </is>
      </c>
      <c r="K174" s="50" t="n"/>
      <c r="L174" s="50" t="n"/>
      <c r="M174" s="49" t="n"/>
      <c r="N174" s="31" t="n"/>
      <c r="O174" s="12">
        <f>IF(tb_rechnungen[[#This Row],[Re-Datum]]&gt;0,MONTH(tb_rechnungen[[#This Row],[Re-Datum]]),"")</f>
        <v/>
      </c>
      <c r="P174" s="13">
        <f>IF(tb_rechnungen[[#This Row],[Re-Datum]]&gt;0,YEAR(tb_rechnungen[[#This Row],[Re-Datum]]),"")</f>
        <v/>
      </c>
      <c r="Q174" s="19">
        <f>IF(tb_rechnungen[[#This Row],[Brutto]]&lt;&gt;0,tb_rechnungen[[#This Row],[Brutto]]-tb_rechnungen[[#This Row],[Netto]],"")</f>
        <v/>
      </c>
      <c r="R174" s="37">
        <f>IF(tb_rechnungen[[#This Row],[Netto]]&lt;&gt;0,ROUND(tb_rechnungen[[#This Row],[Steuer]]/tb_rechnungen[[#This Row],[Netto]],2),"")</f>
        <v/>
      </c>
    </row>
    <row r="175" hidden="1">
      <c r="A175" s="26" t="n">
        <v>45814</v>
      </c>
      <c r="B175" s="27" t="inlineStr">
        <is>
          <t>OpenAI</t>
        </is>
      </c>
      <c r="C175" s="28" t="inlineStr">
        <is>
          <t>7J06MMBJ-0002</t>
        </is>
      </c>
      <c r="D175" s="28" t="inlineStr">
        <is>
          <t>K</t>
        </is>
      </c>
      <c r="E175" s="27" t="inlineStr">
        <is>
          <t>Bis 5.7.2025 ChatGPT Plus</t>
        </is>
      </c>
      <c r="F175" s="29" t="n">
        <v>17.61</v>
      </c>
      <c r="G175" s="29" t="n">
        <v>17.61</v>
      </c>
      <c r="H175" s="30" t="inlineStr">
        <is>
          <t>X</t>
        </is>
      </c>
      <c r="I175" s="30" t="inlineStr">
        <is>
          <t>A</t>
        </is>
      </c>
      <c r="J175" s="30" t="inlineStr">
        <is>
          <t>M</t>
        </is>
      </c>
      <c r="K175" s="50" t="n"/>
      <c r="L175" s="50" t="n"/>
      <c r="M175" s="49" t="n"/>
      <c r="N175" s="30" t="inlineStr">
        <is>
          <t>FX</t>
        </is>
      </c>
      <c r="O175" s="12">
        <f>IF(tb_rechnungen[[#This Row],[Re-Datum]]&gt;0,MONTH(tb_rechnungen[[#This Row],[Re-Datum]]),"")</f>
        <v/>
      </c>
      <c r="P175" s="13">
        <f>IF(tb_rechnungen[[#This Row],[Re-Datum]]&gt;0,YEAR(tb_rechnungen[[#This Row],[Re-Datum]]),"")</f>
        <v/>
      </c>
      <c r="Q175" s="19">
        <f>IF(tb_rechnungen[[#This Row],[Brutto]]&lt;&gt;0,tb_rechnungen[[#This Row],[Brutto]]-tb_rechnungen[[#This Row],[Netto]],"")</f>
        <v/>
      </c>
      <c r="R175" s="37">
        <f>IF(tb_rechnungen[[#This Row],[Netto]]&lt;&gt;0,ROUND(tb_rechnungen[[#This Row],[Steuer]]/tb_rechnungen[[#This Row],[Netto]],2),"")</f>
        <v/>
      </c>
    </row>
    <row r="176" hidden="1">
      <c r="A176" s="26" t="n">
        <v>45818</v>
      </c>
      <c r="B176" s="27" t="inlineStr">
        <is>
          <t>Hetzner</t>
        </is>
      </c>
      <c r="C176" s="28" t="inlineStr">
        <is>
          <t>Re082000316159</t>
        </is>
      </c>
      <c r="D176" s="28" t="inlineStr">
        <is>
          <t>E</t>
        </is>
      </c>
      <c r="E176" s="27" t="inlineStr">
        <is>
          <t>Speicherplatz Mai ++ Juni</t>
        </is>
      </c>
      <c r="F176" s="29" t="n">
        <v>6.38</v>
      </c>
      <c r="G176" s="29" t="n">
        <v>7.6</v>
      </c>
      <c r="H176" s="30" t="inlineStr">
        <is>
          <t>X</t>
        </is>
      </c>
      <c r="I176" s="30" t="inlineStr">
        <is>
          <t>A</t>
        </is>
      </c>
      <c r="J176" s="31" t="inlineStr">
        <is>
          <t>M</t>
        </is>
      </c>
      <c r="K176" s="50" t="n"/>
      <c r="L176" s="50" t="n"/>
      <c r="M176" s="49" t="n"/>
      <c r="N176" s="31" t="n"/>
      <c r="O176" s="12">
        <f>IF(tb_rechnungen[[#This Row],[Re-Datum]]&gt;0,MONTH(tb_rechnungen[[#This Row],[Re-Datum]]),"")</f>
        <v/>
      </c>
      <c r="P176" s="13">
        <f>IF(tb_rechnungen[[#This Row],[Re-Datum]]&gt;0,YEAR(tb_rechnungen[[#This Row],[Re-Datum]]),"")</f>
        <v/>
      </c>
      <c r="Q176" s="19">
        <f>IF(tb_rechnungen[[#This Row],[Brutto]]&lt;&gt;0,tb_rechnungen[[#This Row],[Brutto]]-tb_rechnungen[[#This Row],[Netto]],"")</f>
        <v/>
      </c>
      <c r="R176" s="37">
        <f>IF(tb_rechnungen[[#This Row],[Netto]]&lt;&gt;0,ROUND(tb_rechnungen[[#This Row],[Steuer]]/tb_rechnungen[[#This Row],[Netto]],2),"")</f>
        <v/>
      </c>
    </row>
    <row r="177" hidden="1">
      <c r="A177" s="26" t="n">
        <v>45818</v>
      </c>
      <c r="B177" s="27" t="inlineStr">
        <is>
          <t>Ratiokontakt</t>
        </is>
      </c>
      <c r="C177" s="28" t="inlineStr">
        <is>
          <t>R10878378</t>
        </is>
      </c>
      <c r="D177" s="28" t="inlineStr">
        <is>
          <t>E</t>
        </is>
      </c>
      <c r="E177" s="27" t="inlineStr">
        <is>
          <t>Bis 16.06.2025</t>
        </is>
      </c>
      <c r="F177" s="29" t="n">
        <v>29.9</v>
      </c>
      <c r="G177" s="29" t="n">
        <v>35.58</v>
      </c>
      <c r="H177" s="30" t="inlineStr">
        <is>
          <t>X</t>
        </is>
      </c>
      <c r="I177" s="30" t="inlineStr">
        <is>
          <t>A</t>
        </is>
      </c>
      <c r="J177" s="31" t="inlineStr">
        <is>
          <t>M</t>
        </is>
      </c>
      <c r="K177" s="50" t="n"/>
      <c r="L177" s="50" t="n"/>
      <c r="M177" s="49" t="n"/>
      <c r="N177" s="31" t="n"/>
      <c r="O177" s="12">
        <f>IF(tb_rechnungen[[#This Row],[Re-Datum]]&gt;0,MONTH(tb_rechnungen[[#This Row],[Re-Datum]]),"")</f>
        <v/>
      </c>
      <c r="P177" s="13">
        <f>IF(tb_rechnungen[[#This Row],[Re-Datum]]&gt;0,YEAR(tb_rechnungen[[#This Row],[Re-Datum]]),"")</f>
        <v/>
      </c>
      <c r="Q177" s="19">
        <f>IF(tb_rechnungen[[#This Row],[Brutto]]&lt;&gt;0,tb_rechnungen[[#This Row],[Brutto]]-tb_rechnungen[[#This Row],[Netto]],"")</f>
        <v/>
      </c>
      <c r="R177" s="37">
        <f>IF(tb_rechnungen[[#This Row],[Netto]]&lt;&gt;0,ROUND(tb_rechnungen[[#This Row],[Steuer]]/tb_rechnungen[[#This Row],[Netto]],2),"")</f>
        <v/>
      </c>
    </row>
    <row r="178" hidden="1">
      <c r="A178" s="26" t="n">
        <v>45818</v>
      </c>
      <c r="B178" s="27" t="inlineStr">
        <is>
          <t>Wortmann</t>
        </is>
      </c>
      <c r="C178" s="28" t="inlineStr">
        <is>
          <t>DR8688772</t>
        </is>
      </c>
      <c r="D178" s="28" t="inlineStr">
        <is>
          <t>E</t>
        </is>
      </c>
      <c r="E178" s="27" t="inlineStr">
        <is>
          <t>Carbonite Backup VEH Mai</t>
        </is>
      </c>
      <c r="F178" s="29" t="n">
        <v>9.9</v>
      </c>
      <c r="G178" s="29" t="n">
        <v>11.78</v>
      </c>
      <c r="H178" s="30" t="inlineStr">
        <is>
          <t>X</t>
        </is>
      </c>
      <c r="I178" s="30" t="inlineStr">
        <is>
          <t>A</t>
        </is>
      </c>
      <c r="J178" s="31" t="inlineStr">
        <is>
          <t>M</t>
        </is>
      </c>
      <c r="K178" s="50" t="n"/>
      <c r="L178" s="50" t="n"/>
      <c r="M178" s="49" t="n"/>
      <c r="N178" s="31" t="n"/>
      <c r="O178" s="12">
        <f>IF(tb_rechnungen[[#This Row],[Re-Datum]]&gt;0,MONTH(tb_rechnungen[[#This Row],[Re-Datum]]),"")</f>
        <v/>
      </c>
      <c r="P178" s="13">
        <f>IF(tb_rechnungen[[#This Row],[Re-Datum]]&gt;0,YEAR(tb_rechnungen[[#This Row],[Re-Datum]]),"")</f>
        <v/>
      </c>
      <c r="Q178" s="19">
        <f>IF(tb_rechnungen[[#This Row],[Brutto]]&lt;&gt;0,tb_rechnungen[[#This Row],[Brutto]]-tb_rechnungen[[#This Row],[Netto]],"")</f>
        <v/>
      </c>
      <c r="R178" s="37">
        <f>IF(tb_rechnungen[[#This Row],[Netto]]&lt;&gt;0,ROUND(tb_rechnungen[[#This Row],[Steuer]]/tb_rechnungen[[#This Row],[Netto]],2),"")</f>
        <v/>
      </c>
    </row>
    <row r="179" hidden="1">
      <c r="A179" s="26" t="n">
        <v>45820</v>
      </c>
      <c r="B179" s="27" t="inlineStr">
        <is>
          <t>Starbuero</t>
        </is>
      </c>
      <c r="C179" s="28" t="inlineStr">
        <is>
          <t>SB2025-22938</t>
        </is>
      </c>
      <c r="D179" s="28" t="inlineStr">
        <is>
          <t>K</t>
        </is>
      </c>
      <c r="E179" s="27" t="inlineStr">
        <is>
          <t>Mai</t>
        </is>
      </c>
      <c r="F179" s="29" t="n">
        <v>20.17</v>
      </c>
      <c r="G179" s="29" t="n">
        <v>24</v>
      </c>
      <c r="H179" s="30" t="inlineStr">
        <is>
          <t>X</t>
        </is>
      </c>
      <c r="I179" s="30" t="inlineStr">
        <is>
          <t>A</t>
        </is>
      </c>
      <c r="J179" s="31" t="inlineStr">
        <is>
          <t>M</t>
        </is>
      </c>
      <c r="K179" s="50" t="n"/>
      <c r="L179" s="50" t="n"/>
      <c r="M179" s="49" t="n"/>
      <c r="N179" s="31" t="n"/>
      <c r="O179" s="12">
        <f>IF(tb_rechnungen[[#This Row],[Re-Datum]]&gt;0,MONTH(tb_rechnungen[[#This Row],[Re-Datum]]),"")</f>
        <v/>
      </c>
      <c r="P179" s="13">
        <f>IF(tb_rechnungen[[#This Row],[Re-Datum]]&gt;0,YEAR(tb_rechnungen[[#This Row],[Re-Datum]]),"")</f>
        <v/>
      </c>
      <c r="Q179" s="19">
        <f>IF(tb_rechnungen[[#This Row],[Brutto]]&lt;&gt;0,tb_rechnungen[[#This Row],[Brutto]]-tb_rechnungen[[#This Row],[Netto]],"")</f>
        <v/>
      </c>
      <c r="R179" s="37">
        <f>IF(tb_rechnungen[[#This Row],[Netto]]&lt;&gt;0,ROUND(tb_rechnungen[[#This Row],[Steuer]]/tb_rechnungen[[#This Row],[Netto]],2),"")</f>
        <v/>
      </c>
    </row>
    <row r="180" hidden="1">
      <c r="A180" s="26" t="n">
        <v>45820</v>
      </c>
      <c r="B180" s="27" t="inlineStr">
        <is>
          <t>Telekom</t>
        </is>
      </c>
      <c r="C180" s="28" t="inlineStr">
        <is>
          <t>34 7089 4700 0551</t>
        </is>
      </c>
      <c r="D180" s="28" t="inlineStr">
        <is>
          <t>K</t>
        </is>
      </c>
      <c r="E180" s="27" t="inlineStr">
        <is>
          <t>Schulze Mobil Mai</t>
        </is>
      </c>
      <c r="F180" s="29" t="n">
        <v>12.76</v>
      </c>
      <c r="G180" s="29" t="n">
        <v>15.18</v>
      </c>
      <c r="H180" s="30" t="inlineStr">
        <is>
          <t>X</t>
        </is>
      </c>
      <c r="I180" s="30" t="inlineStr">
        <is>
          <t>A</t>
        </is>
      </c>
      <c r="J180" s="31" t="inlineStr">
        <is>
          <t>M</t>
        </is>
      </c>
      <c r="K180" s="50" t="n"/>
      <c r="L180" s="50" t="n"/>
      <c r="M180" s="49" t="n"/>
      <c r="N180" s="31" t="n"/>
      <c r="O180" s="12">
        <f>IF(tb_rechnungen[[#This Row],[Re-Datum]]&gt;0,MONTH(tb_rechnungen[[#This Row],[Re-Datum]]),"")</f>
        <v/>
      </c>
      <c r="P180" s="13">
        <f>IF(tb_rechnungen[[#This Row],[Re-Datum]]&gt;0,YEAR(tb_rechnungen[[#This Row],[Re-Datum]]),"")</f>
        <v/>
      </c>
      <c r="Q180" s="19">
        <f>IF(tb_rechnungen[[#This Row],[Brutto]]&lt;&gt;0,tb_rechnungen[[#This Row],[Brutto]]-tb_rechnungen[[#This Row],[Netto]],"")</f>
        <v/>
      </c>
      <c r="R180" s="37">
        <f>IF(tb_rechnungen[[#This Row],[Netto]]&lt;&gt;0,ROUND(tb_rechnungen[[#This Row],[Steuer]]/tb_rechnungen[[#This Row],[Netto]],2),"")</f>
        <v/>
      </c>
    </row>
    <row r="181" hidden="1">
      <c r="A181" s="26" t="n">
        <v>45824</v>
      </c>
      <c r="B181" s="27" t="inlineStr">
        <is>
          <t>Telekom</t>
        </is>
      </c>
      <c r="C181" s="28" t="inlineStr">
        <is>
          <t>780 496 0404</t>
        </is>
      </c>
      <c r="D181" s="28" t="inlineStr">
        <is>
          <t>K</t>
        </is>
      </c>
      <c r="E181" s="27" t="inlineStr">
        <is>
          <t>Schulze Juni</t>
        </is>
      </c>
      <c r="F181" s="29" t="n">
        <v>33.84</v>
      </c>
      <c r="G181" s="29" t="n">
        <v>40.27</v>
      </c>
      <c r="H181" s="30" t="inlineStr">
        <is>
          <t>X</t>
        </is>
      </c>
      <c r="I181" s="30" t="inlineStr">
        <is>
          <t>A</t>
        </is>
      </c>
      <c r="J181" s="31" t="inlineStr">
        <is>
          <t>M</t>
        </is>
      </c>
      <c r="K181" s="50" t="n"/>
      <c r="L181" s="50" t="n"/>
      <c r="M181" s="49" t="n"/>
      <c r="N181" s="31" t="n"/>
      <c r="O181" s="12">
        <f>IF(tb_rechnungen[[#This Row],[Re-Datum]]&gt;0,MONTH(tb_rechnungen[[#This Row],[Re-Datum]]),"")</f>
        <v/>
      </c>
      <c r="P181" s="13">
        <f>IF(tb_rechnungen[[#This Row],[Re-Datum]]&gt;0,YEAR(tb_rechnungen[[#This Row],[Re-Datum]]),"")</f>
        <v/>
      </c>
      <c r="Q181" s="19">
        <f>IF(tb_rechnungen[[#This Row],[Brutto]]&lt;&gt;0,tb_rechnungen[[#This Row],[Brutto]]-tb_rechnungen[[#This Row],[Netto]],"")</f>
        <v/>
      </c>
      <c r="R181" s="37">
        <f>IF(tb_rechnungen[[#This Row],[Netto]]&lt;&gt;0,ROUND(tb_rechnungen[[#This Row],[Steuer]]/tb_rechnungen[[#This Row],[Netto]],2),"")</f>
        <v/>
      </c>
    </row>
    <row r="182" hidden="1">
      <c r="A182" s="26" t="n">
        <v>45825</v>
      </c>
      <c r="B182" s="27" t="inlineStr">
        <is>
          <t>Wolkesicher</t>
        </is>
      </c>
      <c r="C182" s="28" t="inlineStr">
        <is>
          <t>RG 388813</t>
        </is>
      </c>
      <c r="D182" s="28" t="inlineStr">
        <is>
          <t>K</t>
        </is>
      </c>
      <c r="E182" s="27" t="inlineStr">
        <is>
          <t>nc2.uhde.de Bis 31.07.2025</t>
        </is>
      </c>
      <c r="F182" s="29" t="n">
        <v>4.19</v>
      </c>
      <c r="G182" s="29" t="n">
        <v>4.99</v>
      </c>
      <c r="H182" s="30" t="inlineStr">
        <is>
          <t>X</t>
        </is>
      </c>
      <c r="I182" s="30" t="inlineStr">
        <is>
          <t>A</t>
        </is>
      </c>
      <c r="J182" s="31" t="inlineStr">
        <is>
          <t>M</t>
        </is>
      </c>
      <c r="K182" s="50" t="n"/>
      <c r="L182" s="50" t="n"/>
      <c r="M182" s="49" t="n"/>
      <c r="N182" s="31" t="n"/>
      <c r="O182" s="12">
        <f>IF(tb_rechnungen[[#This Row],[Re-Datum]]&gt;0,MONTH(tb_rechnungen[[#This Row],[Re-Datum]]),"")</f>
        <v/>
      </c>
      <c r="P182" s="13">
        <f>IF(tb_rechnungen[[#This Row],[Re-Datum]]&gt;0,YEAR(tb_rechnungen[[#This Row],[Re-Datum]]),"")</f>
        <v/>
      </c>
      <c r="Q182" s="19">
        <f>IF(tb_rechnungen[[#This Row],[Brutto]]&lt;&gt;0,tb_rechnungen[[#This Row],[Brutto]]-tb_rechnungen[[#This Row],[Netto]],"")</f>
        <v/>
      </c>
      <c r="R182" s="37">
        <f>IF(tb_rechnungen[[#This Row],[Netto]]&lt;&gt;0,ROUND(tb_rechnungen[[#This Row],[Steuer]]/tb_rechnungen[[#This Row],[Netto]],2),"")</f>
        <v/>
      </c>
    </row>
    <row r="183" hidden="1">
      <c r="A183" s="26" t="n">
        <v>45825</v>
      </c>
      <c r="B183" s="27" t="inlineStr">
        <is>
          <t>Blau</t>
        </is>
      </c>
      <c r="C183" s="28" t="inlineStr">
        <is>
          <t>1283546635/08</t>
        </is>
      </c>
      <c r="D183" s="28" t="inlineStr">
        <is>
          <t>K</t>
        </is>
      </c>
      <c r="E183" s="27" t="inlineStr">
        <is>
          <t>Faszl Juni</t>
        </is>
      </c>
      <c r="F183" s="29" t="n">
        <v>6.71</v>
      </c>
      <c r="G183" s="29" t="n">
        <v>7.99</v>
      </c>
      <c r="H183" s="30" t="inlineStr">
        <is>
          <t>X</t>
        </is>
      </c>
      <c r="I183" s="30" t="inlineStr">
        <is>
          <t>A</t>
        </is>
      </c>
      <c r="J183" s="31" t="inlineStr">
        <is>
          <t>M</t>
        </is>
      </c>
      <c r="K183" s="50" t="n"/>
      <c r="L183" s="50" t="n"/>
      <c r="M183" s="49" t="n"/>
      <c r="N183" s="31" t="n"/>
      <c r="O183" s="12">
        <f>IF(tb_rechnungen[[#This Row],[Re-Datum]]&gt;0,MONTH(tb_rechnungen[[#This Row],[Re-Datum]]),"")</f>
        <v/>
      </c>
      <c r="P183" s="13">
        <f>IF(tb_rechnungen[[#This Row],[Re-Datum]]&gt;0,YEAR(tb_rechnungen[[#This Row],[Re-Datum]]),"")</f>
        <v/>
      </c>
      <c r="Q183" s="19">
        <f>IF(tb_rechnungen[[#This Row],[Brutto]]&lt;&gt;0,tb_rechnungen[[#This Row],[Brutto]]-tb_rechnungen[[#This Row],[Netto]],"")</f>
        <v/>
      </c>
      <c r="R183" s="37">
        <f>IF(tb_rechnungen[[#This Row],[Netto]]&lt;&gt;0,ROUND(tb_rechnungen[[#This Row],[Steuer]]/tb_rechnungen[[#This Row],[Netto]],2),"")</f>
        <v/>
      </c>
    </row>
    <row r="184" hidden="1">
      <c r="A184" s="26" t="n">
        <v>45834</v>
      </c>
      <c r="B184" s="27" t="inlineStr">
        <is>
          <t>Telekom</t>
        </is>
      </c>
      <c r="C184" s="28" t="inlineStr">
        <is>
          <t>781 166 2004</t>
        </is>
      </c>
      <c r="D184" s="28" t="inlineStr">
        <is>
          <t>K</t>
        </is>
      </c>
      <c r="E184" s="27" t="inlineStr">
        <is>
          <t>Juni Büro</t>
        </is>
      </c>
      <c r="F184" s="29" t="n">
        <v>39.9</v>
      </c>
      <c r="G184" s="29" t="n">
        <v>47.48</v>
      </c>
      <c r="H184" s="30" t="inlineStr">
        <is>
          <t>X</t>
        </is>
      </c>
      <c r="I184" s="30" t="inlineStr">
        <is>
          <t>A</t>
        </is>
      </c>
      <c r="J184" s="31" t="inlineStr">
        <is>
          <t>M</t>
        </is>
      </c>
      <c r="K184" s="50" t="n"/>
      <c r="L184" s="50" t="n"/>
      <c r="M184" s="49" t="n"/>
      <c r="N184" s="31" t="n"/>
      <c r="O184" s="12">
        <f>IF(tb_rechnungen[[#This Row],[Re-Datum]]&gt;0,MONTH(tb_rechnungen[[#This Row],[Re-Datum]]),"")</f>
        <v/>
      </c>
      <c r="P184" s="13">
        <f>IF(tb_rechnungen[[#This Row],[Re-Datum]]&gt;0,YEAR(tb_rechnungen[[#This Row],[Re-Datum]]),"")</f>
        <v/>
      </c>
      <c r="Q184" s="19">
        <f>IF(tb_rechnungen[[#This Row],[Brutto]]&lt;&gt;0,tb_rechnungen[[#This Row],[Brutto]]-tb_rechnungen[[#This Row],[Netto]],"")</f>
        <v/>
      </c>
      <c r="R184" s="37">
        <f>IF(tb_rechnungen[[#This Row],[Netto]]&lt;&gt;0,ROUND(tb_rechnungen[[#This Row],[Steuer]]/tb_rechnungen[[#This Row],[Netto]],2),"")</f>
        <v/>
      </c>
    </row>
    <row r="185" hidden="1">
      <c r="A185" s="26" t="n">
        <v>45838</v>
      </c>
      <c r="B185" s="27" t="inlineStr">
        <is>
          <t>DTS</t>
        </is>
      </c>
      <c r="C185" s="28" t="inlineStr">
        <is>
          <t>25-13-079378</t>
        </is>
      </c>
      <c r="D185" s="28" t="inlineStr">
        <is>
          <t>K</t>
        </is>
      </c>
      <c r="E185" s="27" t="inlineStr">
        <is>
          <t>Juni Centrexx3 3 Nebenstellen</t>
        </is>
      </c>
      <c r="F185" s="29" t="n">
        <v>30.19</v>
      </c>
      <c r="G185" s="29" t="n">
        <v>35.93</v>
      </c>
      <c r="H185" s="30" t="inlineStr">
        <is>
          <t>X</t>
        </is>
      </c>
      <c r="I185" s="30" t="inlineStr">
        <is>
          <t>A</t>
        </is>
      </c>
      <c r="J185" s="31" t="inlineStr">
        <is>
          <t>M</t>
        </is>
      </c>
      <c r="K185" s="50" t="n"/>
      <c r="L185" s="50" t="n"/>
      <c r="M185" s="49" t="n"/>
      <c r="N185" s="31" t="n"/>
      <c r="O185" s="12">
        <f>IF(tb_rechnungen[[#This Row],[Re-Datum]]&gt;0,MONTH(tb_rechnungen[[#This Row],[Re-Datum]]),"")</f>
        <v/>
      </c>
      <c r="P185" s="13">
        <f>IF(tb_rechnungen[[#This Row],[Re-Datum]]&gt;0,YEAR(tb_rechnungen[[#This Row],[Re-Datum]]),"")</f>
        <v/>
      </c>
      <c r="Q185" s="19">
        <f>IF(tb_rechnungen[[#This Row],[Brutto]]&lt;&gt;0,tb_rechnungen[[#This Row],[Brutto]]-tb_rechnungen[[#This Row],[Netto]],"")</f>
        <v/>
      </c>
      <c r="R185" s="37">
        <f>IF(tb_rechnungen[[#This Row],[Netto]]&lt;&gt;0,ROUND(tb_rechnungen[[#This Row],[Steuer]]/tb_rechnungen[[#This Row],[Netto]],2),"")</f>
        <v/>
      </c>
    </row>
    <row r="186" hidden="1">
      <c r="A186" s="26" t="n">
        <v>45838</v>
      </c>
      <c r="B186" s="27" t="inlineStr">
        <is>
          <t>DKV</t>
        </is>
      </c>
      <c r="C186" s="28" t="inlineStr">
        <is>
          <t>25-644829285-001</t>
        </is>
      </c>
      <c r="D186" s="28" t="inlineStr">
        <is>
          <t>K</t>
        </is>
      </c>
      <c r="E186" s="27" t="inlineStr">
        <is>
          <t xml:space="preserve">Juni </t>
        </is>
      </c>
      <c r="F186" s="29" t="n">
        <v>91.89</v>
      </c>
      <c r="G186" s="29" t="n">
        <v>109.35</v>
      </c>
      <c r="H186" s="30" t="inlineStr">
        <is>
          <t>X</t>
        </is>
      </c>
      <c r="I186" s="30" t="inlineStr">
        <is>
          <t>A</t>
        </is>
      </c>
      <c r="J186" s="31" t="inlineStr">
        <is>
          <t>M</t>
        </is>
      </c>
      <c r="K186" s="50" t="n"/>
      <c r="L186" s="50" t="n"/>
      <c r="M186" s="49" t="n"/>
      <c r="N186" s="31" t="n"/>
      <c r="O186" s="12">
        <f>IF(tb_rechnungen[[#This Row],[Re-Datum]]&gt;0,MONTH(tb_rechnungen[[#This Row],[Re-Datum]]),"")</f>
        <v/>
      </c>
      <c r="P186" s="13">
        <f>IF(tb_rechnungen[[#This Row],[Re-Datum]]&gt;0,YEAR(tb_rechnungen[[#This Row],[Re-Datum]]),"")</f>
        <v/>
      </c>
      <c r="Q186" s="19">
        <f>IF(tb_rechnungen[[#This Row],[Brutto]]&lt;&gt;0,tb_rechnungen[[#This Row],[Brutto]]-tb_rechnungen[[#This Row],[Netto]],"")</f>
        <v/>
      </c>
      <c r="R186" s="37">
        <f>IF(tb_rechnungen[[#This Row],[Netto]]&lt;&gt;0,ROUND(tb_rechnungen[[#This Row],[Steuer]]/tb_rechnungen[[#This Row],[Netto]],2),"")</f>
        <v/>
      </c>
    </row>
    <row r="187" hidden="1">
      <c r="A187" s="26" t="n">
        <v>45839</v>
      </c>
      <c r="B187" s="27" t="inlineStr">
        <is>
          <t>API</t>
        </is>
      </c>
      <c r="C187" s="28" t="inlineStr">
        <is>
          <t>R14080990</t>
        </is>
      </c>
      <c r="D187" s="28" t="inlineStr">
        <is>
          <t>E</t>
        </is>
      </c>
      <c r="E187" s="27" t="inlineStr">
        <is>
          <t>OKI 610 Toner schwarz</t>
        </is>
      </c>
      <c r="F187" s="29" t="n">
        <v>116.19</v>
      </c>
      <c r="G187" s="29" t="n">
        <v>138.27</v>
      </c>
      <c r="H187" s="30" t="inlineStr">
        <is>
          <t>X</t>
        </is>
      </c>
      <c r="I187" s="30" t="inlineStr">
        <is>
          <t>Z</t>
        </is>
      </c>
      <c r="J187" s="31" t="inlineStr">
        <is>
          <t>M</t>
        </is>
      </c>
      <c r="K187" s="50" t="n"/>
      <c r="L187" s="50" t="n"/>
      <c r="M187" s="49" t="n"/>
      <c r="N187" s="31" t="n"/>
      <c r="O187" s="12">
        <f>IF(tb_rechnungen[[#This Row],[Re-Datum]]&gt;0,MONTH(tb_rechnungen[[#This Row],[Re-Datum]]),"")</f>
        <v/>
      </c>
      <c r="P187" s="13">
        <f>IF(tb_rechnungen[[#This Row],[Re-Datum]]&gt;0,YEAR(tb_rechnungen[[#This Row],[Re-Datum]]),"")</f>
        <v/>
      </c>
      <c r="Q187" s="19">
        <f>IF(tb_rechnungen[[#This Row],[Brutto]]&lt;&gt;0,tb_rechnungen[[#This Row],[Brutto]]-tb_rechnungen[[#This Row],[Netto]],"")</f>
        <v/>
      </c>
      <c r="R187" s="37">
        <f>IF(tb_rechnungen[[#This Row],[Netto]]&lt;&gt;0,ROUND(tb_rechnungen[[#This Row],[Steuer]]/tb_rechnungen[[#This Row],[Netto]],2),"")</f>
        <v/>
      </c>
    </row>
    <row r="188" hidden="1">
      <c r="A188" s="26" t="n">
        <v>45839</v>
      </c>
      <c r="B188" s="27" t="inlineStr">
        <is>
          <t>VW Leasing</t>
        </is>
      </c>
      <c r="C188" s="28" t="inlineStr">
        <is>
          <t>R10246214684</t>
        </is>
      </c>
      <c r="D188" s="28" t="inlineStr">
        <is>
          <t>K</t>
        </is>
      </c>
      <c r="E188" s="27" t="inlineStr">
        <is>
          <t>Rate 07/25</t>
        </is>
      </c>
      <c r="F188" s="29" t="n">
        <v>37.34</v>
      </c>
      <c r="G188" s="29" t="n">
        <v>44.54</v>
      </c>
      <c r="H188" s="30" t="inlineStr">
        <is>
          <t>X</t>
        </is>
      </c>
      <c r="I188" s="30" t="inlineStr">
        <is>
          <t>A</t>
        </is>
      </c>
      <c r="J188" s="31" t="inlineStr">
        <is>
          <t>M</t>
        </is>
      </c>
      <c r="K188" s="50" t="n"/>
      <c r="L188" s="50" t="n"/>
      <c r="M188" s="49" t="n"/>
      <c r="N188" s="31" t="n"/>
      <c r="O188" s="12">
        <f>IF(tb_rechnungen[[#This Row],[Re-Datum]]&gt;0,MONTH(tb_rechnungen[[#This Row],[Re-Datum]]),"")</f>
        <v/>
      </c>
      <c r="P188" s="13">
        <f>IF(tb_rechnungen[[#This Row],[Re-Datum]]&gt;0,YEAR(tb_rechnungen[[#This Row],[Re-Datum]]),"")</f>
        <v/>
      </c>
      <c r="Q188" s="19">
        <f>IF(tb_rechnungen[[#This Row],[Brutto]]&lt;&gt;0,tb_rechnungen[[#This Row],[Brutto]]-tb_rechnungen[[#This Row],[Netto]],"")</f>
        <v/>
      </c>
      <c r="R188" s="37">
        <f>IF(tb_rechnungen[[#This Row],[Netto]]&lt;&gt;0,ROUND(tb_rechnungen[[#This Row],[Steuer]]/tb_rechnungen[[#This Row],[Netto]],2),"")</f>
        <v/>
      </c>
    </row>
    <row r="189" hidden="1">
      <c r="A189" s="26" t="n">
        <v>45840</v>
      </c>
      <c r="B189" s="27" t="inlineStr">
        <is>
          <t>Haus&amp;Grund</t>
        </is>
      </c>
      <c r="C189" s="28" t="inlineStr">
        <is>
          <t>Miete 07/2025</t>
        </is>
      </c>
      <c r="D189" s="28" t="inlineStr">
        <is>
          <t>K</t>
        </is>
      </c>
      <c r="E189" s="27" t="inlineStr">
        <is>
          <t>Miete</t>
        </is>
      </c>
      <c r="F189" s="29" t="n">
        <v>225</v>
      </c>
      <c r="G189" s="29" t="n">
        <v>225</v>
      </c>
      <c r="H189" s="30" t="inlineStr">
        <is>
          <t>X</t>
        </is>
      </c>
      <c r="I189" s="30" t="inlineStr">
        <is>
          <t>D</t>
        </is>
      </c>
      <c r="J189" s="30" t="inlineStr">
        <is>
          <t>M</t>
        </is>
      </c>
      <c r="K189" s="50" t="n"/>
      <c r="L189" s="50" t="n"/>
      <c r="M189" s="49" t="n"/>
      <c r="N189" s="31" t="n"/>
      <c r="O189" s="12">
        <f>IF(tb_rechnungen[[#This Row],[Re-Datum]]&gt;0,MONTH(tb_rechnungen[[#This Row],[Re-Datum]]),"")</f>
        <v/>
      </c>
      <c r="P189" s="13">
        <f>IF(tb_rechnungen[[#This Row],[Re-Datum]]&gt;0,YEAR(tb_rechnungen[[#This Row],[Re-Datum]]),"")</f>
        <v/>
      </c>
      <c r="Q189" s="19">
        <f>IF(tb_rechnungen[[#This Row],[Brutto]]&lt;&gt;0,tb_rechnungen[[#This Row],[Brutto]]-tb_rechnungen[[#This Row],[Netto]],"")</f>
        <v/>
      </c>
      <c r="R189" s="37">
        <f>IF(tb_rechnungen[[#This Row],[Netto]]&lt;&gt;0,ROUND(tb_rechnungen[[#This Row],[Steuer]]/tb_rechnungen[[#This Row],[Netto]],2),"")</f>
        <v/>
      </c>
    </row>
    <row r="190" hidden="1">
      <c r="A190" s="26" t="n">
        <v>45842</v>
      </c>
      <c r="B190" s="27" t="inlineStr">
        <is>
          <t>Infinigate</t>
        </is>
      </c>
      <c r="C190" s="28" t="inlineStr">
        <is>
          <t>PSI-23329488/1</t>
        </is>
      </c>
      <c r="D190" s="28" t="inlineStr">
        <is>
          <t>E</t>
        </is>
      </c>
      <c r="E190" s="27" t="inlineStr">
        <is>
          <t>Watchguard MFA für FED</t>
        </is>
      </c>
      <c r="F190" s="29" t="n">
        <v>117.42</v>
      </c>
      <c r="G190" s="29" t="n">
        <v>139.73</v>
      </c>
      <c r="H190" s="30" t="inlineStr">
        <is>
          <t>X</t>
        </is>
      </c>
      <c r="I190" s="30" t="inlineStr">
        <is>
          <t>A</t>
        </is>
      </c>
      <c r="J190" s="30" t="inlineStr">
        <is>
          <t>M</t>
        </is>
      </c>
      <c r="K190" s="50" t="n"/>
      <c r="L190" s="50" t="n"/>
      <c r="M190" s="49" t="n"/>
      <c r="N190" s="31" t="n"/>
      <c r="O190" s="12">
        <f>IF(tb_rechnungen[[#This Row],[Re-Datum]]&gt;0,MONTH(tb_rechnungen[[#This Row],[Re-Datum]]),"")</f>
        <v/>
      </c>
      <c r="P190" s="13">
        <f>IF(tb_rechnungen[[#This Row],[Re-Datum]]&gt;0,YEAR(tb_rechnungen[[#This Row],[Re-Datum]]),"")</f>
        <v/>
      </c>
      <c r="Q190" s="19">
        <f>IF(tb_rechnungen[[#This Row],[Brutto]]&lt;&gt;0,tb_rechnungen[[#This Row],[Brutto]]-tb_rechnungen[[#This Row],[Netto]],"")</f>
        <v/>
      </c>
      <c r="R190" s="37">
        <f>IF(tb_rechnungen[[#This Row],[Netto]]&lt;&gt;0,ROUND(tb_rechnungen[[#This Row],[Steuer]]/tb_rechnungen[[#This Row],[Netto]],2),"")</f>
        <v/>
      </c>
    </row>
    <row r="191" hidden="1">
      <c r="A191" s="26" t="n">
        <v>45843</v>
      </c>
      <c r="B191" s="27" t="inlineStr">
        <is>
          <t>OPenAI</t>
        </is>
      </c>
      <c r="C191" s="28" t="inlineStr">
        <is>
          <t>7J06MMBJ-0003</t>
        </is>
      </c>
      <c r="D191" s="28" t="inlineStr">
        <is>
          <t>K</t>
        </is>
      </c>
      <c r="E191" s="27" t="inlineStr">
        <is>
          <t>Bis 5.8.2025</t>
        </is>
      </c>
      <c r="F191" s="29" t="n">
        <v>17.02</v>
      </c>
      <c r="G191" s="29" t="n">
        <v>17.02</v>
      </c>
      <c r="H191" s="30" t="inlineStr">
        <is>
          <t>X</t>
        </is>
      </c>
      <c r="I191" s="30" t="inlineStr">
        <is>
          <t>A</t>
        </is>
      </c>
      <c r="J191" s="31" t="inlineStr">
        <is>
          <t>M</t>
        </is>
      </c>
      <c r="K191" s="50" t="n"/>
      <c r="L191" s="50" t="n"/>
      <c r="M191" s="49" t="n"/>
      <c r="N191" s="30" t="inlineStr">
        <is>
          <t>FX</t>
        </is>
      </c>
      <c r="O191" s="12">
        <f>IF(tb_rechnungen[[#This Row],[Re-Datum]]&gt;0,MONTH(tb_rechnungen[[#This Row],[Re-Datum]]),"")</f>
        <v/>
      </c>
      <c r="P191" s="13">
        <f>IF(tb_rechnungen[[#This Row],[Re-Datum]]&gt;0,YEAR(tb_rechnungen[[#This Row],[Re-Datum]]),"")</f>
        <v/>
      </c>
      <c r="Q191" s="19">
        <f>IF(tb_rechnungen[[#This Row],[Brutto]]&lt;&gt;0,tb_rechnungen[[#This Row],[Brutto]]-tb_rechnungen[[#This Row],[Netto]],"")</f>
        <v/>
      </c>
      <c r="R191" s="37">
        <f>IF(tb_rechnungen[[#This Row],[Netto]]&lt;&gt;0,ROUND(tb_rechnungen[[#This Row],[Steuer]]/tb_rechnungen[[#This Row],[Netto]],2),"")</f>
        <v/>
      </c>
    </row>
    <row r="192" hidden="1">
      <c r="A192" s="26" t="n">
        <v>45845</v>
      </c>
      <c r="B192" s="27" t="inlineStr">
        <is>
          <t>Sage</t>
        </is>
      </c>
      <c r="C192" s="28" t="inlineStr">
        <is>
          <t>2025-1223740</t>
        </is>
      </c>
      <c r="D192" s="28" t="inlineStr">
        <is>
          <t>K</t>
        </is>
      </c>
      <c r="E192" s="27" t="inlineStr">
        <is>
          <t>Juni</t>
        </is>
      </c>
      <c r="F192" s="29" t="n">
        <v>15.5</v>
      </c>
      <c r="G192" s="29" t="n">
        <v>18.45</v>
      </c>
      <c r="H192" s="30" t="inlineStr">
        <is>
          <t>X</t>
        </is>
      </c>
      <c r="I192" s="30" t="inlineStr">
        <is>
          <t>A</t>
        </is>
      </c>
      <c r="J192" s="31" t="inlineStr">
        <is>
          <t>M</t>
        </is>
      </c>
      <c r="K192" s="50" t="n"/>
      <c r="L192" s="50" t="n"/>
      <c r="M192" s="49" t="n"/>
      <c r="N192" s="31" t="n"/>
      <c r="O192" s="12">
        <f>IF(tb_rechnungen[[#This Row],[Re-Datum]]&gt;0,MONTH(tb_rechnungen[[#This Row],[Re-Datum]]),"")</f>
        <v/>
      </c>
      <c r="P192" s="13">
        <f>IF(tb_rechnungen[[#This Row],[Re-Datum]]&gt;0,YEAR(tb_rechnungen[[#This Row],[Re-Datum]]),"")</f>
        <v/>
      </c>
      <c r="Q192" s="19">
        <f>IF(tb_rechnungen[[#This Row],[Brutto]]&lt;&gt;0,tb_rechnungen[[#This Row],[Brutto]]-tb_rechnungen[[#This Row],[Netto]],"")</f>
        <v/>
      </c>
      <c r="R192" s="37">
        <f>IF(tb_rechnungen[[#This Row],[Netto]]&lt;&gt;0,ROUND(tb_rechnungen[[#This Row],[Steuer]]/tb_rechnungen[[#This Row],[Netto]],2),"")</f>
        <v/>
      </c>
    </row>
    <row r="193" hidden="1">
      <c r="A193" s="26" t="n">
        <v>45847</v>
      </c>
      <c r="B193" s="27" t="inlineStr">
        <is>
          <t>Wortmann</t>
        </is>
      </c>
      <c r="C193" s="28" t="inlineStr">
        <is>
          <t>DR8743522</t>
        </is>
      </c>
      <c r="D193" s="28" t="inlineStr">
        <is>
          <t>E</t>
        </is>
      </c>
      <c r="E193" s="27" t="inlineStr">
        <is>
          <t>Corbonite Juni</t>
        </is>
      </c>
      <c r="F193" s="29" t="n">
        <v>9.9</v>
      </c>
      <c r="G193" s="29" t="n">
        <v>11.78</v>
      </c>
      <c r="H193" s="30" t="inlineStr">
        <is>
          <t>X</t>
        </is>
      </c>
      <c r="I193" s="30" t="inlineStr">
        <is>
          <t>A</t>
        </is>
      </c>
      <c r="J193" s="31" t="inlineStr">
        <is>
          <t>Z</t>
        </is>
      </c>
      <c r="K193" s="50" t="n"/>
      <c r="L193" s="50" t="n"/>
      <c r="M193" s="49" t="n"/>
      <c r="N193" s="31" t="n"/>
      <c r="O193" s="12">
        <f>IF(tb_rechnungen[[#This Row],[Re-Datum]]&gt;0,MONTH(tb_rechnungen[[#This Row],[Re-Datum]]),"")</f>
        <v/>
      </c>
      <c r="P193" s="13">
        <f>IF(tb_rechnungen[[#This Row],[Re-Datum]]&gt;0,YEAR(tb_rechnungen[[#This Row],[Re-Datum]]),"")</f>
        <v/>
      </c>
      <c r="Q193" s="19">
        <f>IF(tb_rechnungen[[#This Row],[Brutto]]&lt;&gt;0,tb_rechnungen[[#This Row],[Brutto]]-tb_rechnungen[[#This Row],[Netto]],"")</f>
        <v/>
      </c>
      <c r="R193" s="37">
        <f>IF(tb_rechnungen[[#This Row],[Netto]]&lt;&gt;0,ROUND(tb_rechnungen[[#This Row],[Steuer]]/tb_rechnungen[[#This Row],[Netto]],2),"")</f>
        <v/>
      </c>
    </row>
    <row r="194" hidden="1">
      <c r="A194" s="26" t="n">
        <v>45848</v>
      </c>
      <c r="B194" s="27" t="inlineStr">
        <is>
          <t>Ratiokontakt</t>
        </is>
      </c>
      <c r="C194" s="28" t="inlineStr">
        <is>
          <t>R10880855</t>
        </is>
      </c>
      <c r="D194" s="28" t="inlineStr">
        <is>
          <t>E</t>
        </is>
      </c>
      <c r="E194" s="27" t="inlineStr">
        <is>
          <t>bis 17.07.2025</t>
        </is>
      </c>
      <c r="F194" s="29" t="n">
        <v>29.9</v>
      </c>
      <c r="G194" s="29" t="n">
        <v>35.58</v>
      </c>
      <c r="H194" s="30" t="inlineStr">
        <is>
          <t>X</t>
        </is>
      </c>
      <c r="I194" s="30" t="inlineStr">
        <is>
          <t>A</t>
        </is>
      </c>
      <c r="J194" s="31" t="inlineStr">
        <is>
          <t>M</t>
        </is>
      </c>
      <c r="K194" s="50" t="n"/>
      <c r="L194" s="50" t="n"/>
      <c r="M194" s="49" t="n"/>
      <c r="N194" s="31" t="n"/>
      <c r="O194" s="12">
        <f>IF(tb_rechnungen[[#This Row],[Re-Datum]]&gt;0,MONTH(tb_rechnungen[[#This Row],[Re-Datum]]),"")</f>
        <v/>
      </c>
      <c r="P194" s="13">
        <f>IF(tb_rechnungen[[#This Row],[Re-Datum]]&gt;0,YEAR(tb_rechnungen[[#This Row],[Re-Datum]]),"")</f>
        <v/>
      </c>
      <c r="Q194" s="19">
        <f>IF(tb_rechnungen[[#This Row],[Brutto]]&lt;&gt;0,tb_rechnungen[[#This Row],[Brutto]]-tb_rechnungen[[#This Row],[Netto]],"")</f>
        <v/>
      </c>
      <c r="R194" s="37">
        <f>IF(tb_rechnungen[[#This Row],[Netto]]&lt;&gt;0,ROUND(tb_rechnungen[[#This Row],[Steuer]]/tb_rechnungen[[#This Row],[Netto]],2),"")</f>
        <v/>
      </c>
    </row>
    <row r="195" hidden="1">
      <c r="A195" s="26" t="n">
        <v>45848</v>
      </c>
      <c r="B195" s="27" t="inlineStr">
        <is>
          <t>Telekom</t>
        </is>
      </c>
      <c r="C195" s="28" t="inlineStr">
        <is>
          <t>34 8209 7600 0551</t>
        </is>
      </c>
      <c r="D195" s="28" t="inlineStr">
        <is>
          <t>K</t>
        </is>
      </c>
      <c r="E195" s="27" t="inlineStr">
        <is>
          <t>Schulze Mobil Juni</t>
        </is>
      </c>
      <c r="F195" s="29" t="n">
        <v>12.56</v>
      </c>
      <c r="G195" s="29" t="n">
        <v>14.95</v>
      </c>
      <c r="H195" s="30" t="inlineStr">
        <is>
          <t>X</t>
        </is>
      </c>
      <c r="I195" s="30" t="inlineStr">
        <is>
          <t>A</t>
        </is>
      </c>
      <c r="J195" s="31" t="inlineStr">
        <is>
          <t>M</t>
        </is>
      </c>
      <c r="K195" s="50" t="n"/>
      <c r="L195" s="50" t="n"/>
      <c r="M195" s="49" t="n"/>
      <c r="N195" s="31" t="n"/>
      <c r="O195" s="12">
        <f>IF(tb_rechnungen[[#This Row],[Re-Datum]]&gt;0,MONTH(tb_rechnungen[[#This Row],[Re-Datum]]),"")</f>
        <v/>
      </c>
      <c r="P195" s="13">
        <f>IF(tb_rechnungen[[#This Row],[Re-Datum]]&gt;0,YEAR(tb_rechnungen[[#This Row],[Re-Datum]]),"")</f>
        <v/>
      </c>
      <c r="Q195" s="19">
        <f>IF(tb_rechnungen[[#This Row],[Brutto]]&lt;&gt;0,tb_rechnungen[[#This Row],[Brutto]]-tb_rechnungen[[#This Row],[Netto]],"")</f>
        <v/>
      </c>
      <c r="R195" s="37">
        <f>IF(tb_rechnungen[[#This Row],[Netto]]&lt;&gt;0,ROUND(tb_rechnungen[[#This Row],[Steuer]]/tb_rechnungen[[#This Row],[Netto]],2),"")</f>
        <v/>
      </c>
    </row>
    <row r="196" hidden="1">
      <c r="A196" s="26" t="n">
        <v>45848</v>
      </c>
      <c r="B196" s="27" t="inlineStr">
        <is>
          <t>PSW</t>
        </is>
      </c>
      <c r="C196" s="28" t="inlineStr">
        <is>
          <t>R12521702</t>
        </is>
      </c>
      <c r="D196" s="28" t="inlineStr">
        <is>
          <t>E</t>
        </is>
      </c>
      <c r="E196" s="27" t="inlineStr">
        <is>
          <t>SSL-Zertif. Nc.gzv-isenach-eckbach.de</t>
        </is>
      </c>
      <c r="F196" s="29" t="n">
        <v>13.61</v>
      </c>
      <c r="G196" s="29" t="n">
        <v>16.2</v>
      </c>
      <c r="H196" s="30" t="inlineStr">
        <is>
          <t>X</t>
        </is>
      </c>
      <c r="I196" s="30" t="inlineStr">
        <is>
          <t>A</t>
        </is>
      </c>
      <c r="J196" s="31" t="inlineStr">
        <is>
          <t>M</t>
        </is>
      </c>
      <c r="K196" s="50" t="n"/>
      <c r="L196" s="50" t="n"/>
      <c r="M196" s="49" t="n"/>
      <c r="N196" s="31" t="n"/>
      <c r="O196" s="12">
        <f>IF(tb_rechnungen[[#This Row],[Re-Datum]]&gt;0,MONTH(tb_rechnungen[[#This Row],[Re-Datum]]),"")</f>
        <v/>
      </c>
      <c r="P196" s="13">
        <f>IF(tb_rechnungen[[#This Row],[Re-Datum]]&gt;0,YEAR(tb_rechnungen[[#This Row],[Re-Datum]]),"")</f>
        <v/>
      </c>
      <c r="Q196" s="19">
        <f>IF(tb_rechnungen[[#This Row],[Brutto]]&lt;&gt;0,tb_rechnungen[[#This Row],[Brutto]]-tb_rechnungen[[#This Row],[Netto]],"")</f>
        <v/>
      </c>
      <c r="R196" s="37">
        <f>IF(tb_rechnungen[[#This Row],[Netto]]&lt;&gt;0,ROUND(tb_rechnungen[[#This Row],[Steuer]]/tb_rechnungen[[#This Row],[Netto]],2),"")</f>
        <v/>
      </c>
    </row>
    <row r="197" hidden="1">
      <c r="A197" s="26" t="n">
        <v>45848</v>
      </c>
      <c r="B197" s="27" t="inlineStr">
        <is>
          <t>DTS NFON</t>
        </is>
      </c>
      <c r="C197" s="28" t="inlineStr">
        <is>
          <t>25-13-19108</t>
        </is>
      </c>
      <c r="D197" s="28" t="inlineStr">
        <is>
          <t>K</t>
        </is>
      </c>
      <c r="E197" s="27" t="inlineStr">
        <is>
          <t>Gutschrift</t>
        </is>
      </c>
      <c r="F197" s="29" t="n">
        <v>-0.126</v>
      </c>
      <c r="G197" s="29" t="n">
        <v>-0.15</v>
      </c>
      <c r="H197" s="30" t="inlineStr">
        <is>
          <t>X</t>
        </is>
      </c>
      <c r="I197" s="30" t="inlineStr">
        <is>
          <t>A</t>
        </is>
      </c>
      <c r="J197" s="31" t="inlineStr">
        <is>
          <t>M</t>
        </is>
      </c>
      <c r="K197" s="50" t="n"/>
      <c r="L197" s="50" t="n"/>
      <c r="M197" s="49" t="n"/>
      <c r="N197" s="31" t="n"/>
      <c r="O197" s="12">
        <f>IF(tb_rechnungen[[#This Row],[Re-Datum]]&gt;0,MONTH(tb_rechnungen[[#This Row],[Re-Datum]]),"")</f>
        <v/>
      </c>
      <c r="P197" s="13">
        <f>IF(tb_rechnungen[[#This Row],[Re-Datum]]&gt;0,YEAR(tb_rechnungen[[#This Row],[Re-Datum]]),"")</f>
        <v/>
      </c>
      <c r="Q197" s="19">
        <f>IF(tb_rechnungen[[#This Row],[Brutto]]&lt;&gt;0,tb_rechnungen[[#This Row],[Brutto]]-tb_rechnungen[[#This Row],[Netto]],"")</f>
        <v/>
      </c>
      <c r="R197" s="37">
        <f>IF(tb_rechnungen[[#This Row],[Netto]]&lt;&gt;0,ROUND(tb_rechnungen[[#This Row],[Steuer]]/tb_rechnungen[[#This Row],[Netto]],2),"")</f>
        <v/>
      </c>
    </row>
    <row r="198" hidden="1">
      <c r="A198" s="26" t="n">
        <v>45852</v>
      </c>
      <c r="B198" s="27" t="inlineStr">
        <is>
          <t>Audi</t>
        </is>
      </c>
      <c r="C198" s="28" t="inlineStr">
        <is>
          <t>DE03292500182327</t>
        </is>
      </c>
      <c r="D198" s="28" t="inlineStr">
        <is>
          <t>K</t>
        </is>
      </c>
      <c r="E198" s="27" t="inlineStr">
        <is>
          <t>Audi Infotainmant</t>
        </is>
      </c>
      <c r="F198" s="29" t="n">
        <v>83.19</v>
      </c>
      <c r="G198" s="29" t="n">
        <v>99</v>
      </c>
      <c r="H198" s="30" t="inlineStr">
        <is>
          <t>X</t>
        </is>
      </c>
      <c r="I198" s="30" t="inlineStr">
        <is>
          <t>A</t>
        </is>
      </c>
      <c r="J198" s="31" t="inlineStr">
        <is>
          <t>M</t>
        </is>
      </c>
      <c r="K198" s="50" t="n"/>
      <c r="L198" s="50" t="n"/>
      <c r="M198" s="49" t="n"/>
      <c r="N198" s="31" t="n"/>
      <c r="O198" s="12">
        <f>IF(tb_rechnungen[[#This Row],[Re-Datum]]&gt;0,MONTH(tb_rechnungen[[#This Row],[Re-Datum]]),"")</f>
        <v/>
      </c>
      <c r="P198" s="13">
        <f>IF(tb_rechnungen[[#This Row],[Re-Datum]]&gt;0,YEAR(tb_rechnungen[[#This Row],[Re-Datum]]),"")</f>
        <v/>
      </c>
      <c r="Q198" s="19">
        <f>IF(tb_rechnungen[[#This Row],[Brutto]]&lt;&gt;0,tb_rechnungen[[#This Row],[Brutto]]-tb_rechnungen[[#This Row],[Netto]],"")</f>
        <v/>
      </c>
      <c r="R198" s="37">
        <f>IF(tb_rechnungen[[#This Row],[Netto]]&lt;&gt;0,ROUND(tb_rechnungen[[#This Row],[Steuer]]/tb_rechnungen[[#This Row],[Netto]],2),"")</f>
        <v/>
      </c>
    </row>
    <row r="199" hidden="1">
      <c r="A199" s="26" t="n">
        <v>45852</v>
      </c>
      <c r="B199" s="27" t="inlineStr">
        <is>
          <t>Audi</t>
        </is>
      </c>
      <c r="C199" s="28" t="inlineStr">
        <is>
          <t>DE03292500182332</t>
        </is>
      </c>
      <c r="D199" s="28" t="inlineStr">
        <is>
          <t>K</t>
        </is>
      </c>
      <c r="E199" s="27" t="inlineStr">
        <is>
          <t>Audi connect</t>
        </is>
      </c>
      <c r="F199" s="29" t="n">
        <v>33.53</v>
      </c>
      <c r="G199" s="29" t="n">
        <v>39.9</v>
      </c>
      <c r="H199" s="30" t="inlineStr">
        <is>
          <t>X</t>
        </is>
      </c>
      <c r="I199" s="30" t="inlineStr">
        <is>
          <t>A</t>
        </is>
      </c>
      <c r="J199" s="31" t="inlineStr">
        <is>
          <t>M</t>
        </is>
      </c>
      <c r="K199" s="50" t="n"/>
      <c r="L199" s="50" t="n"/>
      <c r="M199" s="49" t="n"/>
      <c r="N199" s="31" t="n"/>
      <c r="O199" s="12">
        <f>IF(tb_rechnungen[[#This Row],[Re-Datum]]&gt;0,MONTH(tb_rechnungen[[#This Row],[Re-Datum]]),"")</f>
        <v/>
      </c>
      <c r="P199" s="13">
        <f>IF(tb_rechnungen[[#This Row],[Re-Datum]]&gt;0,YEAR(tb_rechnungen[[#This Row],[Re-Datum]]),"")</f>
        <v/>
      </c>
      <c r="Q199" s="19">
        <f>IF(tb_rechnungen[[#This Row],[Brutto]]&lt;&gt;0,tb_rechnungen[[#This Row],[Brutto]]-tb_rechnungen[[#This Row],[Netto]],"")</f>
        <v/>
      </c>
      <c r="R199" s="37">
        <f>IF(tb_rechnungen[[#This Row],[Netto]]&lt;&gt;0,ROUND(tb_rechnungen[[#This Row],[Steuer]]/tb_rechnungen[[#This Row],[Netto]],2),"")</f>
        <v/>
      </c>
    </row>
    <row r="200" hidden="1">
      <c r="A200" s="26" t="n">
        <v>45853</v>
      </c>
      <c r="B200" s="27" t="inlineStr">
        <is>
          <t>Blau</t>
        </is>
      </c>
      <c r="C200" s="28" t="inlineStr">
        <is>
          <t>1307068754/08</t>
        </is>
      </c>
      <c r="D200" s="28" t="inlineStr">
        <is>
          <t>K</t>
        </is>
      </c>
      <c r="E200" s="27" t="inlineStr">
        <is>
          <t>Faszl Juli</t>
        </is>
      </c>
      <c r="F200" s="29" t="n">
        <v>6.71</v>
      </c>
      <c r="G200" s="29" t="n">
        <v>7.99</v>
      </c>
      <c r="H200" s="30" t="inlineStr">
        <is>
          <t>X</t>
        </is>
      </c>
      <c r="I200" s="30" t="inlineStr">
        <is>
          <t>A</t>
        </is>
      </c>
      <c r="J200" s="31" t="inlineStr">
        <is>
          <t>M</t>
        </is>
      </c>
      <c r="K200" s="50" t="n"/>
      <c r="L200" s="50" t="n"/>
      <c r="M200" s="49" t="n"/>
      <c r="N200" s="31" t="n"/>
      <c r="O200" s="12">
        <f>IF(tb_rechnungen[[#This Row],[Re-Datum]]&gt;0,MONTH(tb_rechnungen[[#This Row],[Re-Datum]]),"")</f>
        <v/>
      </c>
      <c r="P200" s="13">
        <f>IF(tb_rechnungen[[#This Row],[Re-Datum]]&gt;0,YEAR(tb_rechnungen[[#This Row],[Re-Datum]]),"")</f>
        <v/>
      </c>
      <c r="Q200" s="19">
        <f>IF(tb_rechnungen[[#This Row],[Brutto]]&lt;&gt;0,tb_rechnungen[[#This Row],[Brutto]]-tb_rechnungen[[#This Row],[Netto]],"")</f>
        <v/>
      </c>
      <c r="R200" s="37">
        <f>IF(tb_rechnungen[[#This Row],[Netto]]&lt;&gt;0,ROUND(tb_rechnungen[[#This Row],[Steuer]]/tb_rechnungen[[#This Row],[Netto]],2),"")</f>
        <v/>
      </c>
    </row>
    <row r="201" hidden="1">
      <c r="A201" s="26" t="n">
        <v>45854</v>
      </c>
      <c r="B201" s="26" t="inlineStr">
        <is>
          <t>Telekom</t>
        </is>
      </c>
      <c r="C201" s="28" t="inlineStr">
        <is>
          <t>R 7821554672</t>
        </is>
      </c>
      <c r="D201" s="28" t="inlineStr">
        <is>
          <t>K</t>
        </is>
      </c>
      <c r="E201" s="27" t="inlineStr">
        <is>
          <t>Schulze Juli</t>
        </is>
      </c>
      <c r="F201" s="29" t="n">
        <v>33.57</v>
      </c>
      <c r="G201" s="29" t="n">
        <v>39.95</v>
      </c>
      <c r="H201" s="30" t="inlineStr">
        <is>
          <t>X</t>
        </is>
      </c>
      <c r="I201" s="30" t="inlineStr">
        <is>
          <t>A</t>
        </is>
      </c>
      <c r="J201" s="31" t="inlineStr">
        <is>
          <t>M</t>
        </is>
      </c>
      <c r="K201" s="50" t="n"/>
      <c r="L201" s="50" t="n"/>
      <c r="M201" s="49" t="n"/>
      <c r="N201" s="31" t="n"/>
      <c r="O201" s="12">
        <f>IF(tb_rechnungen[[#This Row],[Re-Datum]]&gt;0,MONTH(tb_rechnungen[[#This Row],[Re-Datum]]),"")</f>
        <v/>
      </c>
      <c r="P201" s="13">
        <f>IF(tb_rechnungen[[#This Row],[Re-Datum]]&gt;0,YEAR(tb_rechnungen[[#This Row],[Re-Datum]]),"")</f>
        <v/>
      </c>
      <c r="Q201" s="19">
        <f>IF(tb_rechnungen[[#This Row],[Brutto]]&lt;&gt;0,tb_rechnungen[[#This Row],[Brutto]]-tb_rechnungen[[#This Row],[Netto]],"")</f>
        <v/>
      </c>
      <c r="R201" s="37">
        <f>IF(tb_rechnungen[[#This Row],[Netto]]&lt;&gt;0,ROUND(tb_rechnungen[[#This Row],[Steuer]]/tb_rechnungen[[#This Row],[Netto]],2),"")</f>
        <v/>
      </c>
    </row>
    <row r="202" hidden="1">
      <c r="A202" s="26" t="n">
        <v>45855</v>
      </c>
      <c r="B202" s="27" t="inlineStr">
        <is>
          <t>Starbuero</t>
        </is>
      </c>
      <c r="C202" s="28" t="inlineStr">
        <is>
          <t>SB2025-27517</t>
        </is>
      </c>
      <c r="D202" s="28" t="inlineStr">
        <is>
          <t>K</t>
        </is>
      </c>
      <c r="E202" s="27" t="inlineStr">
        <is>
          <t>Juni</t>
        </is>
      </c>
      <c r="F202" s="29" t="n">
        <v>5.39</v>
      </c>
      <c r="G202" s="29" t="n">
        <v>6.41</v>
      </c>
      <c r="H202" s="30" t="inlineStr">
        <is>
          <t>X</t>
        </is>
      </c>
      <c r="I202" s="30" t="inlineStr">
        <is>
          <t>A</t>
        </is>
      </c>
      <c r="J202" s="31" t="inlineStr">
        <is>
          <t>M</t>
        </is>
      </c>
      <c r="K202" s="50" t="n"/>
      <c r="L202" s="50" t="n"/>
      <c r="M202" s="49" t="n"/>
      <c r="N202" s="31" t="n"/>
      <c r="O202" s="12">
        <f>IF(tb_rechnungen[[#This Row],[Re-Datum]]&gt;0,MONTH(tb_rechnungen[[#This Row],[Re-Datum]]),"")</f>
        <v/>
      </c>
      <c r="P202" s="13">
        <f>IF(tb_rechnungen[[#This Row],[Re-Datum]]&gt;0,YEAR(tb_rechnungen[[#This Row],[Re-Datum]]),"")</f>
        <v/>
      </c>
      <c r="Q202" s="19">
        <f>IF(tb_rechnungen[[#This Row],[Brutto]]&lt;&gt;0,tb_rechnungen[[#This Row],[Brutto]]-tb_rechnungen[[#This Row],[Netto]],"")</f>
        <v/>
      </c>
      <c r="R202" s="37">
        <f>IF(tb_rechnungen[[#This Row],[Netto]]&lt;&gt;0,ROUND(tb_rechnungen[[#This Row],[Steuer]]/tb_rechnungen[[#This Row],[Netto]],2),"")</f>
        <v/>
      </c>
    </row>
    <row r="203" hidden="1">
      <c r="A203" s="26" t="n">
        <v>45856</v>
      </c>
      <c r="B203" s="27" t="inlineStr">
        <is>
          <t>Wolkesicher</t>
        </is>
      </c>
      <c r="C203" s="28" t="inlineStr">
        <is>
          <t>R391497</t>
        </is>
      </c>
      <c r="D203" s="28" t="inlineStr">
        <is>
          <t>K</t>
        </is>
      </c>
      <c r="E203" s="27" t="inlineStr">
        <is>
          <t>August</t>
        </is>
      </c>
      <c r="F203" s="29" t="n">
        <v>4.19</v>
      </c>
      <c r="G203" s="29" t="n">
        <v>4.99</v>
      </c>
      <c r="H203" s="30" t="inlineStr">
        <is>
          <t>X</t>
        </is>
      </c>
      <c r="I203" s="30" t="inlineStr">
        <is>
          <t>A</t>
        </is>
      </c>
      <c r="J203" s="31" t="inlineStr">
        <is>
          <t>M</t>
        </is>
      </c>
      <c r="K203" s="50" t="n"/>
      <c r="L203" s="50" t="n"/>
      <c r="M203" s="49" t="n"/>
      <c r="N203" s="31" t="n"/>
      <c r="O203" s="12">
        <f>IF(tb_rechnungen[[#This Row],[Re-Datum]]&gt;0,MONTH(tb_rechnungen[[#This Row],[Re-Datum]]),"")</f>
        <v/>
      </c>
      <c r="P203" s="13">
        <f>IF(tb_rechnungen[[#This Row],[Re-Datum]]&gt;0,YEAR(tb_rechnungen[[#This Row],[Re-Datum]]),"")</f>
        <v/>
      </c>
      <c r="Q203" s="19">
        <f>IF(tb_rechnungen[[#This Row],[Brutto]]&lt;&gt;0,tb_rechnungen[[#This Row],[Brutto]]-tb_rechnungen[[#This Row],[Netto]],"")</f>
        <v/>
      </c>
      <c r="R203" s="37">
        <f>IF(tb_rechnungen[[#This Row],[Netto]]&lt;&gt;0,ROUND(tb_rechnungen[[#This Row],[Steuer]]/tb_rechnungen[[#This Row],[Netto]],2),"")</f>
        <v/>
      </c>
    </row>
    <row r="204" hidden="1">
      <c r="A204" s="26" t="n">
        <v>45856</v>
      </c>
      <c r="B204" s="27" t="inlineStr">
        <is>
          <t>Starbuero</t>
        </is>
      </c>
      <c r="C204" s="28" t="inlineStr">
        <is>
          <t>SB2025-31706</t>
        </is>
      </c>
      <c r="D204" s="28" t="inlineStr">
        <is>
          <t>K</t>
        </is>
      </c>
      <c r="E204" s="27" t="inlineStr">
        <is>
          <t>Juni , 2 Rechnung</t>
        </is>
      </c>
      <c r="F204" s="29" t="n">
        <v>1.77</v>
      </c>
      <c r="G204" s="29" t="n">
        <v>2.11</v>
      </c>
      <c r="H204" s="30" t="inlineStr">
        <is>
          <t>X</t>
        </is>
      </c>
      <c r="I204" s="30" t="inlineStr">
        <is>
          <t>A</t>
        </is>
      </c>
      <c r="J204" s="31" t="inlineStr">
        <is>
          <t>M</t>
        </is>
      </c>
      <c r="K204" s="50" t="n"/>
      <c r="L204" s="50" t="n"/>
      <c r="M204" s="49" t="n"/>
      <c r="N204" s="31" t="n"/>
      <c r="O204" s="12">
        <f>IF(tb_rechnungen[[#This Row],[Re-Datum]]&gt;0,MONTH(tb_rechnungen[[#This Row],[Re-Datum]]),"")</f>
        <v/>
      </c>
      <c r="P204" s="13">
        <f>IF(tb_rechnungen[[#This Row],[Re-Datum]]&gt;0,YEAR(tb_rechnungen[[#This Row],[Re-Datum]]),"")</f>
        <v/>
      </c>
      <c r="Q204" s="19">
        <f>IF(tb_rechnungen[[#This Row],[Brutto]]&lt;&gt;0,tb_rechnungen[[#This Row],[Brutto]]-tb_rechnungen[[#This Row],[Netto]],"")</f>
        <v/>
      </c>
      <c r="R204" s="37">
        <f>IF(tb_rechnungen[[#This Row],[Netto]]&lt;&gt;0,ROUND(tb_rechnungen[[#This Row],[Steuer]]/tb_rechnungen[[#This Row],[Netto]],2),"")</f>
        <v/>
      </c>
    </row>
    <row r="205" hidden="1">
      <c r="A205" s="26" t="n">
        <v>45853</v>
      </c>
      <c r="B205" s="27" t="inlineStr">
        <is>
          <t>DKV</t>
        </is>
      </c>
      <c r="C205" s="28" t="inlineStr">
        <is>
          <t>25-645177918-001</t>
        </is>
      </c>
      <c r="D205" s="28" t="inlineStr">
        <is>
          <t>K</t>
        </is>
      </c>
      <c r="E205" s="27" t="inlineStr">
        <is>
          <t xml:space="preserve">Juli </t>
        </is>
      </c>
      <c r="F205" s="29" t="n">
        <v>59.31</v>
      </c>
      <c r="G205" s="29" t="n">
        <v>70.58</v>
      </c>
      <c r="H205" s="30" t="inlineStr">
        <is>
          <t>X</t>
        </is>
      </c>
      <c r="I205" s="30" t="inlineStr">
        <is>
          <t>A</t>
        </is>
      </c>
      <c r="J205" s="31" t="inlineStr">
        <is>
          <t>M</t>
        </is>
      </c>
      <c r="K205" s="50" t="n"/>
      <c r="L205" s="50" t="n"/>
      <c r="M205" s="49" t="n"/>
      <c r="N205" s="31" t="n"/>
      <c r="O205" s="12">
        <f>IF(tb_rechnungen[[#This Row],[Re-Datum]]&gt;0,MONTH(tb_rechnungen[[#This Row],[Re-Datum]]),"")</f>
        <v/>
      </c>
      <c r="P205" s="13">
        <f>IF(tb_rechnungen[[#This Row],[Re-Datum]]&gt;0,YEAR(tb_rechnungen[[#This Row],[Re-Datum]]),"")</f>
        <v/>
      </c>
      <c r="Q205" s="19">
        <f>IF(tb_rechnungen[[#This Row],[Brutto]]&lt;&gt;0,tb_rechnungen[[#This Row],[Brutto]]-tb_rechnungen[[#This Row],[Netto]],"")</f>
        <v/>
      </c>
      <c r="R205" s="37">
        <f>IF(tb_rechnungen[[#This Row],[Netto]]&lt;&gt;0,ROUND(tb_rechnungen[[#This Row],[Steuer]]/tb_rechnungen[[#This Row],[Netto]],2),"")</f>
        <v/>
      </c>
    </row>
    <row r="206" hidden="1">
      <c r="A206" s="26" t="n">
        <v>45860</v>
      </c>
      <c r="B206" s="27" t="inlineStr">
        <is>
          <t>Telekom</t>
        </is>
      </c>
      <c r="C206" s="28" t="inlineStr">
        <is>
          <t>R7824218326</t>
        </is>
      </c>
      <c r="D206" s="28" t="inlineStr">
        <is>
          <t>K</t>
        </is>
      </c>
      <c r="E206" s="28" t="inlineStr">
        <is>
          <t>Juli Faszl</t>
        </is>
      </c>
      <c r="F206" s="29" t="n">
        <v>37.77</v>
      </c>
      <c r="G206" s="29" t="n">
        <v>44.95</v>
      </c>
      <c r="H206" s="30" t="inlineStr">
        <is>
          <t>X</t>
        </is>
      </c>
      <c r="I206" s="30" t="inlineStr">
        <is>
          <t>A</t>
        </is>
      </c>
      <c r="J206" s="31" t="inlineStr">
        <is>
          <t>M</t>
        </is>
      </c>
      <c r="K206" s="50" t="n"/>
      <c r="L206" s="50" t="n"/>
      <c r="M206" s="67" t="n"/>
      <c r="N206" s="30" t="n"/>
      <c r="O206" s="12">
        <f>IF(tb_rechnungen[[#This Row],[Re-Datum]]&gt;0,MONTH(tb_rechnungen[[#This Row],[Re-Datum]]),"")</f>
        <v/>
      </c>
      <c r="P206" s="13">
        <f>IF(tb_rechnungen[[#This Row],[Re-Datum]]&gt;0,YEAR(tb_rechnungen[[#This Row],[Re-Datum]]),"")</f>
        <v/>
      </c>
      <c r="Q206" s="19">
        <f>IF(tb_rechnungen[[#This Row],[Brutto]]&lt;&gt;0,tb_rechnungen[[#This Row],[Brutto]]-tb_rechnungen[[#This Row],[Netto]],"")</f>
        <v/>
      </c>
      <c r="R206" s="37">
        <f>IF(tb_rechnungen[[#This Row],[Netto]]&lt;&gt;0,ROUND(tb_rechnungen[[#This Row],[Steuer]]/tb_rechnungen[[#This Row],[Netto]],2),"")</f>
        <v/>
      </c>
    </row>
    <row r="207" hidden="1">
      <c r="A207" s="26" t="n">
        <v>45862</v>
      </c>
      <c r="B207" s="27" t="inlineStr">
        <is>
          <t>TDSynnex</t>
        </is>
      </c>
      <c r="C207" s="28" t="inlineStr">
        <is>
          <t xml:space="preserve">R8272904489 </t>
        </is>
      </c>
      <c r="D207" s="28" t="inlineStr">
        <is>
          <t>E</t>
        </is>
      </c>
      <c r="E207" s="27" t="inlineStr">
        <is>
          <t xml:space="preserve">USV 300VA Teilrechnung </t>
        </is>
      </c>
      <c r="F207" s="29" t="n">
        <v>2727.9</v>
      </c>
      <c r="G207" s="29" t="n">
        <v>3246.2</v>
      </c>
      <c r="H207" s="30" t="inlineStr">
        <is>
          <t>X</t>
        </is>
      </c>
      <c r="I207" s="30" t="inlineStr">
        <is>
          <t>Z</t>
        </is>
      </c>
      <c r="J207" s="31" t="inlineStr">
        <is>
          <t>M</t>
        </is>
      </c>
      <c r="K207" s="50" t="n"/>
      <c r="L207" s="50" t="n"/>
      <c r="M207" s="67" t="n"/>
      <c r="N207" s="30" t="n"/>
      <c r="O207" s="12">
        <f>IF(tb_rechnungen[[#This Row],[Re-Datum]]&gt;0,MONTH(tb_rechnungen[[#This Row],[Re-Datum]]),"")</f>
        <v/>
      </c>
      <c r="P207" s="13">
        <f>IF(tb_rechnungen[[#This Row],[Re-Datum]]&gt;0,YEAR(tb_rechnungen[[#This Row],[Re-Datum]]),"")</f>
        <v/>
      </c>
      <c r="Q207" s="19">
        <f>IF(tb_rechnungen[[#This Row],[Brutto]]&lt;&gt;0,tb_rechnungen[[#This Row],[Brutto]]-tb_rechnungen[[#This Row],[Netto]],"")</f>
        <v/>
      </c>
      <c r="R207" s="37">
        <f>IF(tb_rechnungen[[#This Row],[Netto]]&lt;&gt;0,ROUND(tb_rechnungen[[#This Row],[Steuer]]/tb_rechnungen[[#This Row],[Netto]],2),"")</f>
        <v/>
      </c>
    </row>
    <row r="208" hidden="1">
      <c r="A208" s="26" t="n">
        <v>45863</v>
      </c>
      <c r="B208" s="27" t="inlineStr">
        <is>
          <t>IT-Anger Kassen24</t>
        </is>
      </c>
      <c r="C208" s="28" t="inlineStr">
        <is>
          <t>RE3422-2025</t>
        </is>
      </c>
      <c r="D208" s="28" t="inlineStr">
        <is>
          <t>E</t>
        </is>
      </c>
      <c r="E208" s="27" t="inlineStr">
        <is>
          <t>2 x Kassenschublade kvp</t>
        </is>
      </c>
      <c r="F208" s="29" t="n">
        <v>165.55</v>
      </c>
      <c r="G208" s="29" t="n">
        <v>197</v>
      </c>
      <c r="H208" s="30" t="inlineStr">
        <is>
          <t>X</t>
        </is>
      </c>
      <c r="I208" s="30" t="inlineStr">
        <is>
          <t>A</t>
        </is>
      </c>
      <c r="J208" s="31" t="inlineStr">
        <is>
          <t>M</t>
        </is>
      </c>
      <c r="K208" s="50" t="n"/>
      <c r="L208" s="50" t="n"/>
      <c r="M208" s="67" t="n"/>
      <c r="N208" s="30" t="n"/>
      <c r="O208" s="12">
        <f>IF(tb_rechnungen[[#This Row],[Re-Datum]]&gt;0,MONTH(tb_rechnungen[[#This Row],[Re-Datum]]),"")</f>
        <v/>
      </c>
      <c r="P208" s="13">
        <f>IF(tb_rechnungen[[#This Row],[Re-Datum]]&gt;0,YEAR(tb_rechnungen[[#This Row],[Re-Datum]]),"")</f>
        <v/>
      </c>
      <c r="Q208" s="19">
        <f>IF(tb_rechnungen[[#This Row],[Brutto]]&lt;&gt;0,tb_rechnungen[[#This Row],[Brutto]]-tb_rechnungen[[#This Row],[Netto]],"")</f>
        <v/>
      </c>
      <c r="R208" s="37">
        <f>IF(tb_rechnungen[[#This Row],[Netto]]&lt;&gt;0,ROUND(tb_rechnungen[[#This Row],[Steuer]]/tb_rechnungen[[#This Row],[Netto]],2),"")</f>
        <v/>
      </c>
    </row>
    <row r="209" hidden="1">
      <c r="A209" s="26" t="n">
        <v>45867</v>
      </c>
      <c r="B209" s="27" t="inlineStr">
        <is>
          <t>Telekom</t>
        </is>
      </c>
      <c r="C209" s="28" t="inlineStr">
        <is>
          <t>782 804 3612</t>
        </is>
      </c>
      <c r="D209" s="28" t="inlineStr">
        <is>
          <t>K</t>
        </is>
      </c>
      <c r="E209" s="27" t="inlineStr">
        <is>
          <t>August  Büro</t>
        </is>
      </c>
      <c r="F209" s="29" t="n">
        <v>39.9</v>
      </c>
      <c r="G209" s="29" t="n">
        <v>47.48</v>
      </c>
      <c r="H209" s="30" t="inlineStr">
        <is>
          <t>X</t>
        </is>
      </c>
      <c r="I209" s="30" t="inlineStr">
        <is>
          <t>A</t>
        </is>
      </c>
      <c r="J209" s="31" t="inlineStr">
        <is>
          <t>M</t>
        </is>
      </c>
      <c r="K209" s="50" t="n"/>
      <c r="L209" s="50" t="n"/>
      <c r="M209" s="67" t="n"/>
      <c r="N209" s="30" t="n"/>
      <c r="O209" s="12">
        <f>IF(tb_rechnungen[[#This Row],[Re-Datum]]&gt;0,MONTH(tb_rechnungen[[#This Row],[Re-Datum]]),"")</f>
        <v/>
      </c>
      <c r="P209" s="13">
        <f>IF(tb_rechnungen[[#This Row],[Re-Datum]]&gt;0,YEAR(tb_rechnungen[[#This Row],[Re-Datum]]),"")</f>
        <v/>
      </c>
      <c r="Q209" s="19">
        <f>IF(tb_rechnungen[[#This Row],[Brutto]]&lt;&gt;0,tb_rechnungen[[#This Row],[Brutto]]-tb_rechnungen[[#This Row],[Netto]],"")</f>
        <v/>
      </c>
      <c r="R209" s="37">
        <f>IF(tb_rechnungen[[#This Row],[Netto]]&lt;&gt;0,ROUND(tb_rechnungen[[#This Row],[Steuer]]/tb_rechnungen[[#This Row],[Netto]],2),"")</f>
        <v/>
      </c>
    </row>
    <row r="210" hidden="1">
      <c r="A210" s="26" t="n">
        <v>45867</v>
      </c>
      <c r="B210" s="27" t="inlineStr">
        <is>
          <t>PCS</t>
        </is>
      </c>
      <c r="C210" s="28" t="inlineStr">
        <is>
          <t>R17260660</t>
        </is>
      </c>
      <c r="D210" s="28" t="inlineStr">
        <is>
          <t>E</t>
        </is>
      </c>
      <c r="E210" s="27" t="inlineStr">
        <is>
          <t>ATOSS-Karten Mischo</t>
        </is>
      </c>
      <c r="F210" s="29" t="n">
        <v>198</v>
      </c>
      <c r="G210" s="29" t="n">
        <v>235.62</v>
      </c>
      <c r="H210" s="30" t="inlineStr">
        <is>
          <t>X</t>
        </is>
      </c>
      <c r="I210" s="30" t="inlineStr">
        <is>
          <t>Z</t>
        </is>
      </c>
      <c r="J210" s="30" t="inlineStr">
        <is>
          <t>M</t>
        </is>
      </c>
      <c r="K210" s="50" t="n"/>
      <c r="L210" s="50" t="n"/>
      <c r="M210" s="67" t="n"/>
      <c r="N210" s="30" t="n"/>
      <c r="O210" s="12">
        <f>IF(tb_rechnungen[[#This Row],[Re-Datum]]&gt;0,MONTH(tb_rechnungen[[#This Row],[Re-Datum]]),"")</f>
        <v/>
      </c>
      <c r="P210" s="13">
        <f>IF(tb_rechnungen[[#This Row],[Re-Datum]]&gt;0,YEAR(tb_rechnungen[[#This Row],[Re-Datum]]),"")</f>
        <v/>
      </c>
      <c r="Q210" s="19">
        <f>IF(tb_rechnungen[[#This Row],[Brutto]]&lt;&gt;0,tb_rechnungen[[#This Row],[Brutto]]-tb_rechnungen[[#This Row],[Netto]],"")</f>
        <v/>
      </c>
      <c r="R210" s="37">
        <f>IF(tb_rechnungen[[#This Row],[Netto]]&lt;&gt;0,ROUND(tb_rechnungen[[#This Row],[Steuer]]/tb_rechnungen[[#This Row],[Netto]],2),"")</f>
        <v/>
      </c>
    </row>
    <row r="211" hidden="1">
      <c r="A211" s="26" t="n">
        <v>45869</v>
      </c>
      <c r="B211" s="27" t="inlineStr">
        <is>
          <t>TDSynnex</t>
        </is>
      </c>
      <c r="C211" s="28" t="inlineStr">
        <is>
          <t>RE8273097006</t>
        </is>
      </c>
      <c r="D211" s="28" t="inlineStr">
        <is>
          <t>E</t>
        </is>
      </c>
      <c r="E211" s="27" t="inlineStr">
        <is>
          <t>USV-Speicher MUT</t>
        </is>
      </c>
      <c r="F211" s="29" t="n">
        <v>950.39</v>
      </c>
      <c r="G211" s="29" t="n">
        <v>1130.96</v>
      </c>
      <c r="H211" s="30" t="inlineStr">
        <is>
          <t>X</t>
        </is>
      </c>
      <c r="I211" s="30" t="inlineStr">
        <is>
          <t>Z</t>
        </is>
      </c>
      <c r="J211" s="31" t="inlineStr">
        <is>
          <t>M</t>
        </is>
      </c>
      <c r="K211" s="50" t="n"/>
      <c r="L211" s="50" t="n"/>
      <c r="M211" s="67" t="n"/>
      <c r="N211" s="30" t="n"/>
      <c r="O211" s="12">
        <f>IF(tb_rechnungen[[#This Row],[Re-Datum]]&gt;0,MONTH(tb_rechnungen[[#This Row],[Re-Datum]]),"")</f>
        <v/>
      </c>
      <c r="P211" s="13">
        <f>IF(tb_rechnungen[[#This Row],[Re-Datum]]&gt;0,YEAR(tb_rechnungen[[#This Row],[Re-Datum]]),"")</f>
        <v/>
      </c>
      <c r="Q211" s="19">
        <f>IF(tb_rechnungen[[#This Row],[Brutto]]&lt;&gt;0,tb_rechnungen[[#This Row],[Brutto]]-tb_rechnungen[[#This Row],[Netto]],"")</f>
        <v/>
      </c>
      <c r="R211" s="37">
        <f>IF(tb_rechnungen[[#This Row],[Netto]]&lt;&gt;0,ROUND(tb_rechnungen[[#This Row],[Steuer]]/tb_rechnungen[[#This Row],[Netto]],2),"")</f>
        <v/>
      </c>
    </row>
    <row r="212" hidden="1">
      <c r="A212" s="26" t="n">
        <v>45869</v>
      </c>
      <c r="B212" s="27" t="inlineStr">
        <is>
          <t>DTS NFON</t>
        </is>
      </c>
      <c r="C212" s="28" t="inlineStr">
        <is>
          <t>25-13-086802</t>
        </is>
      </c>
      <c r="D212" s="28" t="inlineStr">
        <is>
          <t>K</t>
        </is>
      </c>
      <c r="E212" s="27" t="inlineStr">
        <is>
          <t>Rechnung Juli</t>
        </is>
      </c>
      <c r="F212" s="29" t="n">
        <v>38.77</v>
      </c>
      <c r="G212" s="29" t="n">
        <v>46.13</v>
      </c>
      <c r="H212" s="30" t="inlineStr">
        <is>
          <t>X</t>
        </is>
      </c>
      <c r="I212" s="30" t="inlineStr">
        <is>
          <t>A</t>
        </is>
      </c>
      <c r="J212" s="30" t="inlineStr">
        <is>
          <t>M</t>
        </is>
      </c>
      <c r="K212" s="50" t="n"/>
      <c r="L212" s="50" t="n"/>
      <c r="M212" s="67" t="n"/>
      <c r="N212" s="30" t="n"/>
      <c r="O212" s="12">
        <f>IF(tb_rechnungen[[#This Row],[Re-Datum]]&gt;0,MONTH(tb_rechnungen[[#This Row],[Re-Datum]]),"")</f>
        <v/>
      </c>
      <c r="P212" s="13">
        <f>IF(tb_rechnungen[[#This Row],[Re-Datum]]&gt;0,YEAR(tb_rechnungen[[#This Row],[Re-Datum]]),"")</f>
        <v/>
      </c>
      <c r="Q212" s="19">
        <f>IF(tb_rechnungen[[#This Row],[Brutto]]&lt;&gt;0,tb_rechnungen[[#This Row],[Brutto]]-tb_rechnungen[[#This Row],[Netto]],"")</f>
        <v/>
      </c>
      <c r="R212" s="37">
        <f>IF(tb_rechnungen[[#This Row],[Netto]]&lt;&gt;0,ROUND(tb_rechnungen[[#This Row],[Steuer]]/tb_rechnungen[[#This Row],[Netto]],2),"")</f>
        <v/>
      </c>
    </row>
    <row r="213" hidden="1">
      <c r="A213" s="26" t="n">
        <v>45869</v>
      </c>
      <c r="B213" s="27" t="inlineStr">
        <is>
          <t>BAVC</t>
        </is>
      </c>
      <c r="C213" s="28" t="inlineStr">
        <is>
          <t>R6196163</t>
        </is>
      </c>
      <c r="D213" s="28" t="inlineStr">
        <is>
          <t>K</t>
        </is>
      </c>
      <c r="E213" s="27" t="inlineStr">
        <is>
          <t>BAVC Faslz</t>
        </is>
      </c>
      <c r="F213" s="29" t="n">
        <v>84.5</v>
      </c>
      <c r="G213" s="29" t="n">
        <v>84.5</v>
      </c>
      <c r="H213" s="30" t="inlineStr">
        <is>
          <t>X</t>
        </is>
      </c>
      <c r="I213" s="30" t="inlineStr">
        <is>
          <t>A</t>
        </is>
      </c>
      <c r="J213" s="30" t="inlineStr">
        <is>
          <t>M</t>
        </is>
      </c>
      <c r="K213" s="50" t="n"/>
      <c r="L213" s="50" t="n"/>
      <c r="M213" s="67" t="n"/>
      <c r="N213" s="30" t="n"/>
      <c r="O213" s="12">
        <f>IF(tb_rechnungen[[#This Row],[Re-Datum]]&gt;0,MONTH(tb_rechnungen[[#This Row],[Re-Datum]]),"")</f>
        <v/>
      </c>
      <c r="P213" s="13">
        <f>IF(tb_rechnungen[[#This Row],[Re-Datum]]&gt;0,YEAR(tb_rechnungen[[#This Row],[Re-Datum]]),"")</f>
        <v/>
      </c>
      <c r="Q213" s="19">
        <f>IF(tb_rechnungen[[#This Row],[Brutto]]&lt;&gt;0,tb_rechnungen[[#This Row],[Brutto]]-tb_rechnungen[[#This Row],[Netto]],"")</f>
        <v/>
      </c>
      <c r="R213" s="37">
        <f>IF(tb_rechnungen[[#This Row],[Netto]]&lt;&gt;0,ROUND(tb_rechnungen[[#This Row],[Steuer]]/tb_rechnungen[[#This Row],[Netto]],2),"")</f>
        <v/>
      </c>
    </row>
    <row r="214" hidden="1">
      <c r="A214" s="26" t="n">
        <v>45869</v>
      </c>
      <c r="B214" s="27" t="inlineStr">
        <is>
          <t>DKV</t>
        </is>
      </c>
      <c r="C214" s="28" t="inlineStr">
        <is>
          <t>25-645531701-001</t>
        </is>
      </c>
      <c r="D214" s="28" t="inlineStr">
        <is>
          <t>K</t>
        </is>
      </c>
      <c r="E214" s="27" t="inlineStr">
        <is>
          <t>DKV Juli 2. Rechnung</t>
        </is>
      </c>
      <c r="F214" s="29" t="n">
        <v>190.01</v>
      </c>
      <c r="G214" s="29" t="n">
        <v>226.11</v>
      </c>
      <c r="H214" s="30" t="inlineStr">
        <is>
          <t>X</t>
        </is>
      </c>
      <c r="I214" s="30" t="inlineStr">
        <is>
          <t>A</t>
        </is>
      </c>
      <c r="J214" s="30" t="inlineStr">
        <is>
          <t>M</t>
        </is>
      </c>
      <c r="K214" s="50" t="n"/>
      <c r="L214" s="50" t="n"/>
      <c r="M214" s="67" t="n"/>
      <c r="N214" s="30" t="n"/>
      <c r="O214" s="12">
        <f>IF(tb_rechnungen[[#This Row],[Re-Datum]]&gt;0,MONTH(tb_rechnungen[[#This Row],[Re-Datum]]),"")</f>
        <v/>
      </c>
      <c r="P214" s="13">
        <f>IF(tb_rechnungen[[#This Row],[Re-Datum]]&gt;0,YEAR(tb_rechnungen[[#This Row],[Re-Datum]]),"")</f>
        <v/>
      </c>
      <c r="Q214" s="19">
        <f>IF(tb_rechnungen[[#This Row],[Brutto]]&lt;&gt;0,tb_rechnungen[[#This Row],[Brutto]]-tb_rechnungen[[#This Row],[Netto]],"")</f>
        <v/>
      </c>
      <c r="R214" s="37">
        <f>IF(tb_rechnungen[[#This Row],[Netto]]&lt;&gt;0,ROUND(tb_rechnungen[[#This Row],[Steuer]]/tb_rechnungen[[#This Row],[Netto]],2),"")</f>
        <v/>
      </c>
    </row>
    <row r="215" hidden="1">
      <c r="A215" s="26" t="n">
        <v>45870</v>
      </c>
      <c r="B215" s="27" t="inlineStr">
        <is>
          <t>VW Leasing</t>
        </is>
      </c>
      <c r="C215" s="28" t="inlineStr">
        <is>
          <t>R10247674995</t>
        </is>
      </c>
      <c r="D215" s="28" t="inlineStr">
        <is>
          <t>K</t>
        </is>
      </c>
      <c r="E215" s="27" t="inlineStr">
        <is>
          <t>Rate 08.2025</t>
        </is>
      </c>
      <c r="F215" s="29" t="n">
        <v>37.43</v>
      </c>
      <c r="G215" s="29" t="n">
        <v>44.54</v>
      </c>
      <c r="H215" s="30" t="inlineStr">
        <is>
          <t>X</t>
        </is>
      </c>
      <c r="I215" s="30" t="inlineStr">
        <is>
          <t>A</t>
        </is>
      </c>
      <c r="J215" s="31" t="inlineStr">
        <is>
          <t>M</t>
        </is>
      </c>
      <c r="K215" s="50" t="n"/>
      <c r="L215" s="50" t="n"/>
      <c r="M215" s="67" t="n"/>
      <c r="N215" s="30" t="n"/>
      <c r="O215" s="12">
        <f>IF(tb_rechnungen[[#This Row],[Re-Datum]]&gt;0,MONTH(tb_rechnungen[[#This Row],[Re-Datum]]),"")</f>
        <v/>
      </c>
      <c r="P215" s="13">
        <f>IF(tb_rechnungen[[#This Row],[Re-Datum]]&gt;0,YEAR(tb_rechnungen[[#This Row],[Re-Datum]]),"")</f>
        <v/>
      </c>
      <c r="Q215" s="19">
        <f>IF(tb_rechnungen[[#This Row],[Brutto]]&lt;&gt;0,tb_rechnungen[[#This Row],[Brutto]]-tb_rechnungen[[#This Row],[Netto]],"")</f>
        <v/>
      </c>
      <c r="R215" s="37">
        <f>IF(tb_rechnungen[[#This Row],[Netto]]&lt;&gt;0,ROUND(tb_rechnungen[[#This Row],[Steuer]]/tb_rechnungen[[#This Row],[Netto]],2),"")</f>
        <v/>
      </c>
    </row>
    <row r="216" hidden="1">
      <c r="A216" s="26" t="n">
        <v>45873</v>
      </c>
      <c r="B216" s="27" t="inlineStr">
        <is>
          <t>Haus&amp;Grund</t>
        </is>
      </c>
      <c r="C216" s="28" t="inlineStr">
        <is>
          <t>Miete 08/2025</t>
        </is>
      </c>
      <c r="D216" s="28" t="inlineStr">
        <is>
          <t>K</t>
        </is>
      </c>
      <c r="E216" s="27" t="inlineStr">
        <is>
          <t>Miete</t>
        </is>
      </c>
      <c r="F216" s="29" t="n">
        <v>225</v>
      </c>
      <c r="G216" s="29" t="n">
        <v>225</v>
      </c>
      <c r="H216" s="30" t="inlineStr">
        <is>
          <t>X</t>
        </is>
      </c>
      <c r="I216" s="30" t="inlineStr">
        <is>
          <t>D</t>
        </is>
      </c>
      <c r="J216" s="30" t="inlineStr">
        <is>
          <t>M</t>
        </is>
      </c>
      <c r="K216" s="50" t="n"/>
      <c r="L216" s="50" t="n"/>
      <c r="M216" s="67" t="n"/>
      <c r="N216" s="30" t="n"/>
      <c r="O216" s="12">
        <f>IF(tb_rechnungen[[#This Row],[Re-Datum]]&gt;0,MONTH(tb_rechnungen[[#This Row],[Re-Datum]]),"")</f>
        <v/>
      </c>
      <c r="P216" s="13">
        <f>IF(tb_rechnungen[[#This Row],[Re-Datum]]&gt;0,YEAR(tb_rechnungen[[#This Row],[Re-Datum]]),"")</f>
        <v/>
      </c>
      <c r="Q216" s="19">
        <f>IF(tb_rechnungen[[#This Row],[Brutto]]&lt;&gt;0,tb_rechnungen[[#This Row],[Brutto]]-tb_rechnungen[[#This Row],[Netto]],"")</f>
        <v/>
      </c>
      <c r="R216" s="37">
        <f>IF(tb_rechnungen[[#This Row],[Netto]]&lt;&gt;0,ROUND(tb_rechnungen[[#This Row],[Steuer]]/tb_rechnungen[[#This Row],[Netto]],2),"")</f>
        <v/>
      </c>
    </row>
    <row r="217" hidden="1">
      <c r="A217" s="26" t="n">
        <v>45874</v>
      </c>
      <c r="B217" s="27" t="inlineStr">
        <is>
          <t>Elovade Ebertlang</t>
        </is>
      </c>
      <c r="C217" s="28" t="inlineStr">
        <is>
          <t>R1199449</t>
        </is>
      </c>
      <c r="D217" s="28" t="inlineStr">
        <is>
          <t>E</t>
        </is>
      </c>
      <c r="E217" s="27" t="inlineStr">
        <is>
          <t>Zus. 5 Mailstorebenutzer WFB</t>
        </is>
      </c>
      <c r="F217" s="29" t="n">
        <v>110</v>
      </c>
      <c r="G217" s="29" t="n">
        <v>130.9</v>
      </c>
      <c r="H217" s="30" t="inlineStr">
        <is>
          <t>X</t>
        </is>
      </c>
      <c r="I217" s="30" t="inlineStr">
        <is>
          <t>A</t>
        </is>
      </c>
      <c r="J217" s="31" t="inlineStr">
        <is>
          <t>M</t>
        </is>
      </c>
      <c r="K217" s="50" t="n"/>
      <c r="L217" s="50" t="n"/>
      <c r="M217" s="67" t="n"/>
      <c r="N217" s="30" t="n"/>
      <c r="O217" s="12">
        <f>IF(tb_rechnungen[[#This Row],[Re-Datum]]&gt;0,MONTH(tb_rechnungen[[#This Row],[Re-Datum]]),"")</f>
        <v/>
      </c>
      <c r="P217" s="13">
        <f>IF(tb_rechnungen[[#This Row],[Re-Datum]]&gt;0,YEAR(tb_rechnungen[[#This Row],[Re-Datum]]),"")</f>
        <v/>
      </c>
      <c r="Q217" s="19">
        <f>IF(tb_rechnungen[[#This Row],[Brutto]]&lt;&gt;0,tb_rechnungen[[#This Row],[Brutto]]-tb_rechnungen[[#This Row],[Netto]],"")</f>
        <v/>
      </c>
      <c r="R217" s="37">
        <f>IF(tb_rechnungen[[#This Row],[Netto]]&lt;&gt;0,ROUND(tb_rechnungen[[#This Row],[Steuer]]/tb_rechnungen[[#This Row],[Netto]],2),"")</f>
        <v/>
      </c>
    </row>
    <row r="218" hidden="1">
      <c r="A218" s="26" t="n">
        <v>45874</v>
      </c>
      <c r="B218" s="27" t="inlineStr">
        <is>
          <t>OfficePartner</t>
        </is>
      </c>
      <c r="C218" s="28" t="inlineStr">
        <is>
          <t>R55472394</t>
        </is>
      </c>
      <c r="D218" s="28" t="inlineStr">
        <is>
          <t>E</t>
        </is>
      </c>
      <c r="E218" s="27" t="inlineStr">
        <is>
          <t>EcoTank ET-280 HO Alsbach</t>
        </is>
      </c>
      <c r="F218" s="29" t="n">
        <v>184.03</v>
      </c>
      <c r="G218" s="29" t="n">
        <v>219</v>
      </c>
      <c r="H218" s="30" t="inlineStr">
        <is>
          <t>X</t>
        </is>
      </c>
      <c r="I218" s="30" t="inlineStr">
        <is>
          <t>Z</t>
        </is>
      </c>
      <c r="J218" s="31" t="inlineStr">
        <is>
          <t>M</t>
        </is>
      </c>
      <c r="K218" s="50" t="n"/>
      <c r="L218" s="50" t="n"/>
      <c r="M218" s="67" t="n"/>
      <c r="N218" s="30" t="n"/>
      <c r="O218" s="12">
        <f>IF(tb_rechnungen[[#This Row],[Re-Datum]]&gt;0,MONTH(tb_rechnungen[[#This Row],[Re-Datum]]),"")</f>
        <v/>
      </c>
      <c r="P218" s="13">
        <f>IF(tb_rechnungen[[#This Row],[Re-Datum]]&gt;0,YEAR(tb_rechnungen[[#This Row],[Re-Datum]]),"")</f>
        <v/>
      </c>
      <c r="Q218" s="19">
        <f>IF(tb_rechnungen[[#This Row],[Brutto]]&lt;&gt;0,tb_rechnungen[[#This Row],[Brutto]]-tb_rechnungen[[#This Row],[Netto]],"")</f>
        <v/>
      </c>
      <c r="R218" s="37">
        <f>IF(tb_rechnungen[[#This Row],[Netto]]&lt;&gt;0,ROUND(tb_rechnungen[[#This Row],[Steuer]]/tb_rechnungen[[#This Row],[Netto]],2),"")</f>
        <v/>
      </c>
    </row>
    <row r="219" hidden="1">
      <c r="A219" s="26" t="n">
        <v>45875</v>
      </c>
      <c r="B219" s="27" t="inlineStr">
        <is>
          <t>Sage</t>
        </is>
      </c>
      <c r="C219" s="28" t="inlineStr">
        <is>
          <t>2025-1245837</t>
        </is>
      </c>
      <c r="D219" s="28" t="inlineStr">
        <is>
          <t>K</t>
        </is>
      </c>
      <c r="E219" s="27" t="inlineStr">
        <is>
          <t>Sage HR Cloud 2 MA</t>
        </is>
      </c>
      <c r="F219" s="29" t="n">
        <v>15.5</v>
      </c>
      <c r="G219" s="29" t="n">
        <v>18.45</v>
      </c>
      <c r="H219" s="30" t="inlineStr">
        <is>
          <t>X</t>
        </is>
      </c>
      <c r="I219" s="30" t="inlineStr">
        <is>
          <t>A</t>
        </is>
      </c>
      <c r="J219" s="31" t="inlineStr">
        <is>
          <t>M</t>
        </is>
      </c>
      <c r="K219" s="50" t="n"/>
      <c r="L219" s="50" t="n"/>
      <c r="M219" s="67" t="n"/>
      <c r="N219" s="30" t="n"/>
      <c r="O219" s="12">
        <f>IF(tb_rechnungen[[#This Row],[Re-Datum]]&gt;0,MONTH(tb_rechnungen[[#This Row],[Re-Datum]]),"")</f>
        <v/>
      </c>
      <c r="P219" s="13">
        <f>IF(tb_rechnungen[[#This Row],[Re-Datum]]&gt;0,YEAR(tb_rechnungen[[#This Row],[Re-Datum]]),"")</f>
        <v/>
      </c>
      <c r="Q219" s="19">
        <f>IF(tb_rechnungen[[#This Row],[Brutto]]&lt;&gt;0,tb_rechnungen[[#This Row],[Brutto]]-tb_rechnungen[[#This Row],[Netto]],"")</f>
        <v/>
      </c>
      <c r="R219" s="37">
        <f>IF(tb_rechnungen[[#This Row],[Netto]]&lt;&gt;0,ROUND(tb_rechnungen[[#This Row],[Steuer]]/tb_rechnungen[[#This Row],[Netto]],2),"")</f>
        <v/>
      </c>
    </row>
    <row r="220" hidden="1">
      <c r="A220" s="26" t="n">
        <v>45875</v>
      </c>
      <c r="B220" s="27" t="inlineStr">
        <is>
          <t>OpenAI</t>
        </is>
      </c>
      <c r="C220" s="28" t="inlineStr">
        <is>
          <t>7J06MMBJ-0004</t>
        </is>
      </c>
      <c r="D220" s="28" t="inlineStr">
        <is>
          <t>K</t>
        </is>
      </c>
      <c r="E220" s="27" t="inlineStr">
        <is>
          <t>ChatGpt bis 5.9.2025</t>
        </is>
      </c>
      <c r="F220" s="29" t="n">
        <v>17.32</v>
      </c>
      <c r="G220" s="29" t="n">
        <v>17.32</v>
      </c>
      <c r="H220" s="30" t="inlineStr">
        <is>
          <t>X</t>
        </is>
      </c>
      <c r="I220" s="30" t="inlineStr">
        <is>
          <t>A</t>
        </is>
      </c>
      <c r="J220" s="31" t="inlineStr">
        <is>
          <t>M</t>
        </is>
      </c>
      <c r="K220" s="50" t="n"/>
      <c r="L220" s="50" t="n"/>
      <c r="M220" s="67" t="n"/>
      <c r="N220" s="30" t="inlineStr">
        <is>
          <t>FX</t>
        </is>
      </c>
      <c r="O220" s="12">
        <f>IF(tb_rechnungen[[#This Row],[Re-Datum]]&gt;0,MONTH(tb_rechnungen[[#This Row],[Re-Datum]]),"")</f>
        <v/>
      </c>
      <c r="P220" s="13">
        <f>IF(tb_rechnungen[[#This Row],[Re-Datum]]&gt;0,YEAR(tb_rechnungen[[#This Row],[Re-Datum]]),"")</f>
        <v/>
      </c>
      <c r="Q220" s="19">
        <f>IF(tb_rechnungen[[#This Row],[Brutto]]&lt;&gt;0,tb_rechnungen[[#This Row],[Brutto]]-tb_rechnungen[[#This Row],[Netto]],"")</f>
        <v/>
      </c>
      <c r="R220" s="37">
        <f>IF(tb_rechnungen[[#This Row],[Netto]]&lt;&gt;0,ROUND(tb_rechnungen[[#This Row],[Steuer]]/tb_rechnungen[[#This Row],[Netto]],2),"")</f>
        <v/>
      </c>
    </row>
    <row r="221" hidden="1">
      <c r="A221" s="26" t="n">
        <v>45875</v>
      </c>
      <c r="B221" s="27" t="inlineStr">
        <is>
          <t>TDSynnex</t>
        </is>
      </c>
      <c r="C221" s="28" t="inlineStr">
        <is>
          <t>R827322103</t>
        </is>
      </c>
      <c r="D221" s="28" t="inlineStr">
        <is>
          <t>E</t>
        </is>
      </c>
      <c r="E221" s="27" t="inlineStr">
        <is>
          <t>Veeam 3 jahre FED</t>
        </is>
      </c>
      <c r="F221" s="29" t="n">
        <v>1879.32</v>
      </c>
      <c r="G221" s="29" t="n">
        <v>2236.39</v>
      </c>
      <c r="H221" s="30" t="inlineStr">
        <is>
          <t>X</t>
        </is>
      </c>
      <c r="I221" s="30" t="inlineStr">
        <is>
          <t>Z</t>
        </is>
      </c>
      <c r="J221" s="31" t="inlineStr">
        <is>
          <t>M</t>
        </is>
      </c>
      <c r="K221" s="50" t="n"/>
      <c r="L221" s="50" t="n"/>
      <c r="M221" s="67" t="n"/>
      <c r="N221" s="30" t="n"/>
      <c r="O221" s="12">
        <f>IF(tb_rechnungen[[#This Row],[Re-Datum]]&gt;0,MONTH(tb_rechnungen[[#This Row],[Re-Datum]]),"")</f>
        <v/>
      </c>
      <c r="P221" s="13">
        <f>IF(tb_rechnungen[[#This Row],[Re-Datum]]&gt;0,YEAR(tb_rechnungen[[#This Row],[Re-Datum]]),"")</f>
        <v/>
      </c>
      <c r="Q221" s="19">
        <f>IF(tb_rechnungen[[#This Row],[Brutto]]&lt;&gt;0,tb_rechnungen[[#This Row],[Brutto]]-tb_rechnungen[[#This Row],[Netto]],"")</f>
        <v/>
      </c>
      <c r="R221" s="37">
        <f>IF(tb_rechnungen[[#This Row],[Netto]]&lt;&gt;0,ROUND(tb_rechnungen[[#This Row],[Steuer]]/tb_rechnungen[[#This Row],[Netto]],2),"")</f>
        <v/>
      </c>
    </row>
    <row r="222" hidden="1">
      <c r="A222" s="26" t="n">
        <v>45876</v>
      </c>
      <c r="B222" s="27" t="inlineStr">
        <is>
          <t>Thomas-Krenn.AG</t>
        </is>
      </c>
      <c r="C222" s="28" t="inlineStr">
        <is>
          <t>AR20256207</t>
        </is>
      </c>
      <c r="D222" s="28" t="inlineStr">
        <is>
          <t>E</t>
        </is>
      </c>
      <c r="E222" s="27" t="inlineStr">
        <is>
          <t>8TB SATA HDD für WFBNAS03</t>
        </is>
      </c>
      <c r="F222" s="29" t="n">
        <v>211.16</v>
      </c>
      <c r="G222" s="29" t="n">
        <v>251.28</v>
      </c>
      <c r="H222" s="30" t="inlineStr">
        <is>
          <t>X</t>
        </is>
      </c>
      <c r="I222" s="30" t="inlineStr">
        <is>
          <t>Z</t>
        </is>
      </c>
      <c r="J222" s="31" t="inlineStr">
        <is>
          <t>M</t>
        </is>
      </c>
      <c r="K222" s="50" t="n"/>
      <c r="L222" s="50" t="n"/>
      <c r="M222" s="67" t="n"/>
      <c r="N222" s="30" t="n"/>
      <c r="O222" s="12">
        <f>IF(tb_rechnungen[[#This Row],[Re-Datum]]&gt;0,MONTH(tb_rechnungen[[#This Row],[Re-Datum]]),"")</f>
        <v/>
      </c>
      <c r="P222" s="13">
        <f>IF(tb_rechnungen[[#This Row],[Re-Datum]]&gt;0,YEAR(tb_rechnungen[[#This Row],[Re-Datum]]),"")</f>
        <v/>
      </c>
      <c r="Q222" s="19">
        <f>IF(tb_rechnungen[[#This Row],[Brutto]]&lt;&gt;0,tb_rechnungen[[#This Row],[Brutto]]-tb_rechnungen[[#This Row],[Netto]],"")</f>
        <v/>
      </c>
      <c r="R222" s="37">
        <f>IF(tb_rechnungen[[#This Row],[Netto]]&lt;&gt;0,ROUND(tb_rechnungen[[#This Row],[Steuer]]/tb_rechnungen[[#This Row],[Netto]],2),"")</f>
        <v/>
      </c>
    </row>
    <row r="223" hidden="1">
      <c r="A223" s="26" t="n">
        <v>45878</v>
      </c>
      <c r="B223" s="27" t="inlineStr">
        <is>
          <t>Wortmann</t>
        </is>
      </c>
      <c r="C223" s="28" t="inlineStr">
        <is>
          <t>DR8803123</t>
        </is>
      </c>
      <c r="D223" s="28" t="inlineStr">
        <is>
          <t>E</t>
        </is>
      </c>
      <c r="E223" s="27" t="inlineStr">
        <is>
          <t>Terra Cloud Carbonite VEH</t>
        </is>
      </c>
      <c r="F223" s="29" t="n">
        <v>9.9</v>
      </c>
      <c r="G223" s="29" t="n">
        <v>11.78</v>
      </c>
      <c r="H223" s="30" t="inlineStr">
        <is>
          <t>X</t>
        </is>
      </c>
      <c r="I223" s="30" t="inlineStr">
        <is>
          <t>Z</t>
        </is>
      </c>
      <c r="J223" s="31" t="inlineStr">
        <is>
          <t>M</t>
        </is>
      </c>
      <c r="K223" s="50" t="n"/>
      <c r="L223" s="50" t="n"/>
      <c r="M223" s="67" t="n"/>
      <c r="N223" s="30" t="n"/>
      <c r="O223" s="12">
        <f>IF(tb_rechnungen[[#This Row],[Re-Datum]]&gt;0,MONTH(tb_rechnungen[[#This Row],[Re-Datum]]),"")</f>
        <v/>
      </c>
      <c r="P223" s="13">
        <f>IF(tb_rechnungen[[#This Row],[Re-Datum]]&gt;0,YEAR(tb_rechnungen[[#This Row],[Re-Datum]]),"")</f>
        <v/>
      </c>
      <c r="Q223" s="19">
        <f>IF(tb_rechnungen[[#This Row],[Brutto]]&lt;&gt;0,tb_rechnungen[[#This Row],[Brutto]]-tb_rechnungen[[#This Row],[Netto]],"")</f>
        <v/>
      </c>
      <c r="R223" s="37">
        <f>IF(tb_rechnungen[[#This Row],[Netto]]&lt;&gt;0,ROUND(tb_rechnungen[[#This Row],[Steuer]]/tb_rechnungen[[#This Row],[Netto]],2),"")</f>
        <v/>
      </c>
    </row>
    <row r="224" hidden="1">
      <c r="A224" s="26" t="n">
        <v>45879</v>
      </c>
      <c r="B224" s="27" t="inlineStr">
        <is>
          <t>Hetzner</t>
        </is>
      </c>
      <c r="C224" s="28" t="inlineStr">
        <is>
          <t>R089000458663</t>
        </is>
      </c>
      <c r="D224" s="28" t="inlineStr">
        <is>
          <t>E</t>
        </is>
      </c>
      <c r="E224" s="27" t="inlineStr">
        <is>
          <t>Storage Juli + August</t>
        </is>
      </c>
      <c r="F224" s="29" t="n">
        <v>6.38</v>
      </c>
      <c r="G224" s="29" t="n">
        <v>7.6</v>
      </c>
      <c r="H224" s="30" t="inlineStr">
        <is>
          <t>X</t>
        </is>
      </c>
      <c r="I224" s="30" t="inlineStr">
        <is>
          <t>A</t>
        </is>
      </c>
      <c r="J224" s="31" t="inlineStr">
        <is>
          <t>M</t>
        </is>
      </c>
      <c r="K224" s="50" t="n"/>
      <c r="L224" s="50" t="n"/>
      <c r="M224" s="67" t="n"/>
      <c r="N224" s="30" t="n"/>
      <c r="O224" s="12">
        <f>IF(tb_rechnungen[[#This Row],[Re-Datum]]&gt;0,MONTH(tb_rechnungen[[#This Row],[Re-Datum]]),"")</f>
        <v/>
      </c>
      <c r="P224" s="13">
        <f>IF(tb_rechnungen[[#This Row],[Re-Datum]]&gt;0,YEAR(tb_rechnungen[[#This Row],[Re-Datum]]),"")</f>
        <v/>
      </c>
      <c r="Q224" s="19">
        <f>IF(tb_rechnungen[[#This Row],[Brutto]]&lt;&gt;0,tb_rechnungen[[#This Row],[Brutto]]-tb_rechnungen[[#This Row],[Netto]],"")</f>
        <v/>
      </c>
      <c r="R224" s="37">
        <f>IF(tb_rechnungen[[#This Row],[Netto]]&lt;&gt;0,ROUND(tb_rechnungen[[#This Row],[Steuer]]/tb_rechnungen[[#This Row],[Netto]],2),"")</f>
        <v/>
      </c>
    </row>
    <row r="225" hidden="1">
      <c r="A225" s="26" t="n">
        <v>45880</v>
      </c>
      <c r="B225" s="27" t="inlineStr">
        <is>
          <t>Ratiokontakt</t>
        </is>
      </c>
      <c r="C225" s="28" t="inlineStr">
        <is>
          <t>R10883353</t>
        </is>
      </c>
      <c r="D225" s="28" t="inlineStr">
        <is>
          <t>E</t>
        </is>
      </c>
      <c r="E225" s="27" t="inlineStr">
        <is>
          <t>bis 16.08.2025</t>
        </is>
      </c>
      <c r="F225" s="29" t="n">
        <v>36.98</v>
      </c>
      <c r="G225" s="29" t="n">
        <v>44.01</v>
      </c>
      <c r="H225" s="30" t="inlineStr">
        <is>
          <t>X</t>
        </is>
      </c>
      <c r="I225" s="30" t="inlineStr">
        <is>
          <t>A</t>
        </is>
      </c>
      <c r="J225" s="31" t="inlineStr">
        <is>
          <t>M</t>
        </is>
      </c>
      <c r="K225" s="50" t="n"/>
      <c r="L225" s="50" t="n"/>
      <c r="M225" s="67" t="n"/>
      <c r="N225" s="30" t="n"/>
      <c r="O225" s="12">
        <f>IF(tb_rechnungen[[#This Row],[Re-Datum]]&gt;0,MONTH(tb_rechnungen[[#This Row],[Re-Datum]]),"")</f>
        <v/>
      </c>
      <c r="P225" s="13">
        <f>IF(tb_rechnungen[[#This Row],[Re-Datum]]&gt;0,YEAR(tb_rechnungen[[#This Row],[Re-Datum]]),"")</f>
        <v/>
      </c>
      <c r="Q225" s="19">
        <f>IF(tb_rechnungen[[#This Row],[Brutto]]&lt;&gt;0,tb_rechnungen[[#This Row],[Brutto]]-tb_rechnungen[[#This Row],[Netto]],"")</f>
        <v/>
      </c>
      <c r="R225" s="37">
        <f>IF(tb_rechnungen[[#This Row],[Netto]]&lt;&gt;0,ROUND(tb_rechnungen[[#This Row],[Steuer]]/tb_rechnungen[[#This Row],[Netto]],2),"")</f>
        <v/>
      </c>
    </row>
    <row r="226" hidden="1">
      <c r="A226" s="26" t="n">
        <v>45881</v>
      </c>
      <c r="B226" s="27" t="inlineStr">
        <is>
          <t>Bundesanzeiger</t>
        </is>
      </c>
      <c r="C226" s="28" t="inlineStr">
        <is>
          <t>R96912083</t>
        </is>
      </c>
      <c r="D226" s="28" t="inlineStr">
        <is>
          <t>K</t>
        </is>
      </c>
      <c r="E226" s="27" t="inlineStr">
        <is>
          <t>Hinterlegung Bilanz 2024</t>
        </is>
      </c>
      <c r="F226" s="29" t="n">
        <v>21.5</v>
      </c>
      <c r="G226" s="29" t="n">
        <v>25.59</v>
      </c>
      <c r="H226" s="30" t="inlineStr">
        <is>
          <t>X</t>
        </is>
      </c>
      <c r="I226" s="30" t="inlineStr">
        <is>
          <t>Z</t>
        </is>
      </c>
      <c r="J226" s="31" t="inlineStr">
        <is>
          <t>M</t>
        </is>
      </c>
      <c r="K226" s="50" t="n"/>
      <c r="L226" s="50" t="n"/>
      <c r="M226" s="67" t="n"/>
      <c r="N226" s="30" t="n"/>
      <c r="O226" s="12">
        <f>IF(tb_rechnungen[[#This Row],[Re-Datum]]&gt;0,MONTH(tb_rechnungen[[#This Row],[Re-Datum]]),"")</f>
        <v/>
      </c>
      <c r="P226" s="13">
        <f>IF(tb_rechnungen[[#This Row],[Re-Datum]]&gt;0,YEAR(tb_rechnungen[[#This Row],[Re-Datum]]),"")</f>
        <v/>
      </c>
      <c r="Q226" s="19">
        <f>IF(tb_rechnungen[[#This Row],[Brutto]]&lt;&gt;0,tb_rechnungen[[#This Row],[Brutto]]-tb_rechnungen[[#This Row],[Netto]],"")</f>
        <v/>
      </c>
      <c r="R226" s="37">
        <f>IF(tb_rechnungen[[#This Row],[Netto]]&lt;&gt;0,ROUND(tb_rechnungen[[#This Row],[Steuer]]/tb_rechnungen[[#This Row],[Netto]],2),"")</f>
        <v/>
      </c>
    </row>
    <row r="227" hidden="1">
      <c r="A227" s="26" t="n">
        <v>45881</v>
      </c>
      <c r="B227" s="27" t="inlineStr">
        <is>
          <t>Telekom</t>
        </is>
      </c>
      <c r="C227" s="28" t="inlineStr">
        <is>
          <t>34 9327 1700 0551</t>
        </is>
      </c>
      <c r="D227" s="28" t="inlineStr">
        <is>
          <t>K</t>
        </is>
      </c>
      <c r="E227" s="27" t="inlineStr">
        <is>
          <t>Schulze mobil Juli</t>
        </is>
      </c>
      <c r="F227" s="29" t="n">
        <v>13.56</v>
      </c>
      <c r="G227" s="29" t="n">
        <v>16.14</v>
      </c>
      <c r="H227" s="30" t="inlineStr">
        <is>
          <t>X</t>
        </is>
      </c>
      <c r="I227" s="30" t="inlineStr">
        <is>
          <t>A</t>
        </is>
      </c>
      <c r="J227" s="31" t="inlineStr">
        <is>
          <t>M</t>
        </is>
      </c>
      <c r="K227" s="50" t="n"/>
      <c r="L227" s="50" t="n"/>
      <c r="M227" s="67" t="n"/>
      <c r="N227" s="30" t="n"/>
      <c r="O227" s="12">
        <f>IF(tb_rechnungen[[#This Row],[Re-Datum]]&gt;0,MONTH(tb_rechnungen[[#This Row],[Re-Datum]]),"")</f>
        <v/>
      </c>
      <c r="P227" s="13">
        <f>IF(tb_rechnungen[[#This Row],[Re-Datum]]&gt;0,YEAR(tb_rechnungen[[#This Row],[Re-Datum]]),"")</f>
        <v/>
      </c>
      <c r="Q227" s="19">
        <f>IF(tb_rechnungen[[#This Row],[Brutto]]&lt;&gt;0,tb_rechnungen[[#This Row],[Brutto]]-tb_rechnungen[[#This Row],[Netto]],"")</f>
        <v/>
      </c>
      <c r="R227" s="37">
        <f>IF(tb_rechnungen[[#This Row],[Netto]]&lt;&gt;0,ROUND(tb_rechnungen[[#This Row],[Steuer]]/tb_rechnungen[[#This Row],[Netto]],2),"")</f>
        <v/>
      </c>
    </row>
    <row r="228" hidden="1">
      <c r="A228" s="26" t="n">
        <v>45883</v>
      </c>
      <c r="B228" s="27" t="inlineStr">
        <is>
          <t>Blau</t>
        </is>
      </c>
      <c r="C228" s="28" t="inlineStr">
        <is>
          <t>1331882006/08</t>
        </is>
      </c>
      <c r="D228" s="28" t="inlineStr">
        <is>
          <t>K</t>
        </is>
      </c>
      <c r="E228" s="27" t="inlineStr">
        <is>
          <t>Faszl Mobil August</t>
        </is>
      </c>
      <c r="F228" s="29" t="n">
        <v>6.71</v>
      </c>
      <c r="G228" s="29" t="n">
        <v>7.99</v>
      </c>
      <c r="H228" s="30" t="inlineStr">
        <is>
          <t>X</t>
        </is>
      </c>
      <c r="I228" s="30" t="inlineStr">
        <is>
          <t>A</t>
        </is>
      </c>
      <c r="J228" s="31" t="inlineStr">
        <is>
          <t>M</t>
        </is>
      </c>
      <c r="K228" s="50" t="n"/>
      <c r="L228" s="50" t="n"/>
      <c r="M228" s="67" t="n"/>
      <c r="N228" s="30" t="n"/>
      <c r="O228" s="12">
        <f>IF(tb_rechnungen[[#This Row],[Re-Datum]]&gt;0,MONTH(tb_rechnungen[[#This Row],[Re-Datum]]),"")</f>
        <v/>
      </c>
      <c r="P228" s="13">
        <f>IF(tb_rechnungen[[#This Row],[Re-Datum]]&gt;0,YEAR(tb_rechnungen[[#This Row],[Re-Datum]]),"")</f>
        <v/>
      </c>
      <c r="Q228" s="19">
        <f>IF(tb_rechnungen[[#This Row],[Brutto]]&lt;&gt;0,tb_rechnungen[[#This Row],[Brutto]]-tb_rechnungen[[#This Row],[Netto]],"")</f>
        <v/>
      </c>
      <c r="R228" s="37">
        <f>IF(tb_rechnungen[[#This Row],[Netto]]&lt;&gt;0,ROUND(tb_rechnungen[[#This Row],[Steuer]]/tb_rechnungen[[#This Row],[Netto]],2),"")</f>
        <v/>
      </c>
    </row>
    <row r="229" hidden="1">
      <c r="A229" s="26" t="n">
        <v>45884</v>
      </c>
      <c r="B229" s="27" t="inlineStr">
        <is>
          <t>Telekom</t>
        </is>
      </c>
      <c r="C229" s="28" t="inlineStr">
        <is>
          <t>783 793 5393</t>
        </is>
      </c>
      <c r="D229" s="28" t="inlineStr">
        <is>
          <t>K</t>
        </is>
      </c>
      <c r="E229" s="27" t="inlineStr">
        <is>
          <t>Schulze August</t>
        </is>
      </c>
      <c r="F229" s="29" t="n">
        <v>33.57</v>
      </c>
      <c r="G229" s="29" t="n">
        <v>39.95</v>
      </c>
      <c r="H229" s="30" t="inlineStr">
        <is>
          <t>X</t>
        </is>
      </c>
      <c r="I229" s="30" t="inlineStr">
        <is>
          <t>A</t>
        </is>
      </c>
      <c r="J229" s="31" t="inlineStr">
        <is>
          <t>M</t>
        </is>
      </c>
      <c r="K229" s="50" t="n"/>
      <c r="L229" s="50" t="n"/>
      <c r="M229" s="67" t="n"/>
      <c r="N229" s="30" t="n"/>
      <c r="O229" s="12">
        <f>IF(tb_rechnungen[[#This Row],[Re-Datum]]&gt;0,MONTH(tb_rechnungen[[#This Row],[Re-Datum]]),"")</f>
        <v/>
      </c>
      <c r="P229" s="13">
        <f>IF(tb_rechnungen[[#This Row],[Re-Datum]]&gt;0,YEAR(tb_rechnungen[[#This Row],[Re-Datum]]),"")</f>
        <v/>
      </c>
      <c r="Q229" s="19">
        <f>IF(tb_rechnungen[[#This Row],[Brutto]]&lt;&gt;0,tb_rechnungen[[#This Row],[Brutto]]-tb_rechnungen[[#This Row],[Netto]],"")</f>
        <v/>
      </c>
      <c r="R229" s="37">
        <f>IF(tb_rechnungen[[#This Row],[Netto]]&lt;&gt;0,ROUND(tb_rechnungen[[#This Row],[Steuer]]/tb_rechnungen[[#This Row],[Netto]],2),"")</f>
        <v/>
      </c>
    </row>
    <row r="230" hidden="1">
      <c r="A230" s="26" t="n">
        <v>45884</v>
      </c>
      <c r="B230" s="27" t="inlineStr">
        <is>
          <t>Starbuero</t>
        </is>
      </c>
      <c r="C230" s="28" t="inlineStr">
        <is>
          <t>SB2025-36538</t>
        </is>
      </c>
      <c r="D230" s="28" t="inlineStr">
        <is>
          <t>K</t>
        </is>
      </c>
      <c r="E230" s="27" t="inlineStr">
        <is>
          <t>Juli</t>
        </is>
      </c>
      <c r="F230" s="29" t="n">
        <v>17.78</v>
      </c>
      <c r="G230" s="29" t="n">
        <v>21.16</v>
      </c>
      <c r="H230" s="30" t="inlineStr">
        <is>
          <t>X</t>
        </is>
      </c>
      <c r="I230" s="30" t="inlineStr">
        <is>
          <t>A</t>
        </is>
      </c>
      <c r="J230" s="31" t="inlineStr">
        <is>
          <t>M</t>
        </is>
      </c>
      <c r="K230" s="50" t="n"/>
      <c r="L230" s="50" t="n"/>
      <c r="M230" s="67" t="n"/>
      <c r="N230" s="30" t="n"/>
      <c r="O230" s="12">
        <f>IF(tb_rechnungen[[#This Row],[Re-Datum]]&gt;0,MONTH(tb_rechnungen[[#This Row],[Re-Datum]]),"")</f>
        <v/>
      </c>
      <c r="P230" s="13">
        <f>IF(tb_rechnungen[[#This Row],[Re-Datum]]&gt;0,YEAR(tb_rechnungen[[#This Row],[Re-Datum]]),"")</f>
        <v/>
      </c>
      <c r="Q230" s="19">
        <f>IF(tb_rechnungen[[#This Row],[Brutto]]&lt;&gt;0,tb_rechnungen[[#This Row],[Brutto]]-tb_rechnungen[[#This Row],[Netto]],"")</f>
        <v/>
      </c>
      <c r="R230" s="37">
        <f>IF(tb_rechnungen[[#This Row],[Netto]]&lt;&gt;0,ROUND(tb_rechnungen[[#This Row],[Steuer]]/tb_rechnungen[[#This Row],[Netto]],2),"")</f>
        <v/>
      </c>
    </row>
    <row r="231" hidden="1">
      <c r="A231" s="26" t="n">
        <v>45884</v>
      </c>
      <c r="B231" s="27" t="inlineStr">
        <is>
          <t>GEZ</t>
        </is>
      </c>
      <c r="C231" s="28" t="inlineStr">
        <is>
          <t>Q1/2025</t>
        </is>
      </c>
      <c r="D231" s="28" t="inlineStr">
        <is>
          <t>K</t>
        </is>
      </c>
      <c r="E231" s="27" t="inlineStr">
        <is>
          <t xml:space="preserve">Rundfunkbeitrag </t>
        </is>
      </c>
      <c r="F231" s="29" t="n">
        <v>91.8</v>
      </c>
      <c r="G231" s="29" t="n">
        <v>91.8</v>
      </c>
      <c r="H231" s="30" t="inlineStr">
        <is>
          <t>X</t>
        </is>
      </c>
      <c r="I231" s="30" t="inlineStr">
        <is>
          <t>A</t>
        </is>
      </c>
      <c r="J231" s="30" t="inlineStr">
        <is>
          <t>M</t>
        </is>
      </c>
      <c r="K231" s="50" t="n"/>
      <c r="L231" s="50" t="n"/>
      <c r="M231" s="67" t="n"/>
      <c r="N231" s="30" t="n"/>
      <c r="O231" s="12">
        <f>IF(tb_rechnungen[[#This Row],[Re-Datum]]&gt;0,MONTH(tb_rechnungen[[#This Row],[Re-Datum]]),"")</f>
        <v/>
      </c>
      <c r="P231" s="13">
        <f>IF(tb_rechnungen[[#This Row],[Re-Datum]]&gt;0,YEAR(tb_rechnungen[[#This Row],[Re-Datum]]),"")</f>
        <v/>
      </c>
      <c r="Q231" s="19">
        <f>IF(tb_rechnungen[[#This Row],[Brutto]]&lt;&gt;0,tb_rechnungen[[#This Row],[Brutto]]-tb_rechnungen[[#This Row],[Netto]],"")</f>
        <v/>
      </c>
      <c r="R231" s="37">
        <f>IF(tb_rechnungen[[#This Row],[Netto]]&lt;&gt;0,ROUND(tb_rechnungen[[#This Row],[Steuer]]/tb_rechnungen[[#This Row],[Netto]],2),"")</f>
        <v/>
      </c>
    </row>
    <row r="232" hidden="1">
      <c r="A232" s="26" t="n">
        <v>45887</v>
      </c>
      <c r="B232" s="27" t="inlineStr">
        <is>
          <t>Wolkesicher</t>
        </is>
      </c>
      <c r="C232" s="28" t="inlineStr">
        <is>
          <t>R394232</t>
        </is>
      </c>
      <c r="D232" s="28" t="inlineStr">
        <is>
          <t>K</t>
        </is>
      </c>
      <c r="E232" s="27" t="inlineStr">
        <is>
          <t>September</t>
        </is>
      </c>
      <c r="F232" s="29" t="n">
        <v>4.19</v>
      </c>
      <c r="G232" s="29" t="n">
        <v>4.99</v>
      </c>
      <c r="H232" s="30" t="inlineStr">
        <is>
          <t>X</t>
        </is>
      </c>
      <c r="I232" s="30" t="inlineStr">
        <is>
          <t>A</t>
        </is>
      </c>
      <c r="J232" s="31" t="inlineStr">
        <is>
          <t>M</t>
        </is>
      </c>
      <c r="K232" s="50" t="n"/>
      <c r="L232" s="50" t="n"/>
      <c r="M232" s="67" t="n"/>
      <c r="N232" s="30" t="n"/>
      <c r="O232" s="12">
        <f>IF(tb_rechnungen[[#This Row],[Re-Datum]]&gt;0,MONTH(tb_rechnungen[[#This Row],[Re-Datum]]),"")</f>
        <v/>
      </c>
      <c r="P232" s="13">
        <f>IF(tb_rechnungen[[#This Row],[Re-Datum]]&gt;0,YEAR(tb_rechnungen[[#This Row],[Re-Datum]]),"")</f>
        <v/>
      </c>
      <c r="Q232" s="19">
        <f>IF(tb_rechnungen[[#This Row],[Brutto]]&lt;&gt;0,tb_rechnungen[[#This Row],[Brutto]]-tb_rechnungen[[#This Row],[Netto]],"")</f>
        <v/>
      </c>
      <c r="R232" s="37">
        <f>IF(tb_rechnungen[[#This Row],[Netto]]&lt;&gt;0,ROUND(tb_rechnungen[[#This Row],[Steuer]]/tb_rechnungen[[#This Row],[Netto]],2),"")</f>
        <v/>
      </c>
    </row>
    <row r="233" hidden="1">
      <c r="A233" s="26" t="n">
        <v>45889</v>
      </c>
      <c r="B233" s="27" t="inlineStr">
        <is>
          <t>Telekom</t>
        </is>
      </c>
      <c r="C233" s="28" t="inlineStr">
        <is>
          <t>784 056 0053</t>
        </is>
      </c>
      <c r="D233" s="28" t="inlineStr">
        <is>
          <t>K</t>
        </is>
      </c>
      <c r="E233" s="27" t="inlineStr">
        <is>
          <t>Faszl August</t>
        </is>
      </c>
      <c r="F233" s="29" t="n">
        <v>37.77</v>
      </c>
      <c r="G233" s="29" t="n">
        <v>44.95</v>
      </c>
      <c r="H233" s="30" t="inlineStr">
        <is>
          <t>X</t>
        </is>
      </c>
      <c r="I233" s="30" t="inlineStr">
        <is>
          <t>A</t>
        </is>
      </c>
      <c r="J233" s="31" t="inlineStr">
        <is>
          <t>M</t>
        </is>
      </c>
      <c r="K233" s="50" t="n"/>
      <c r="L233" s="50" t="n"/>
      <c r="M233" s="67" t="n"/>
      <c r="N233" s="30" t="n"/>
      <c r="O233" s="12">
        <f>IF(tb_rechnungen[[#This Row],[Re-Datum]]&gt;0,MONTH(tb_rechnungen[[#This Row],[Re-Datum]]),"")</f>
        <v/>
      </c>
      <c r="P233" s="13">
        <f>IF(tb_rechnungen[[#This Row],[Re-Datum]]&gt;0,YEAR(tb_rechnungen[[#This Row],[Re-Datum]]),"")</f>
        <v/>
      </c>
      <c r="Q233" s="19">
        <f>IF(tb_rechnungen[[#This Row],[Brutto]]&lt;&gt;0,tb_rechnungen[[#This Row],[Brutto]]-tb_rechnungen[[#This Row],[Netto]],"")</f>
        <v/>
      </c>
      <c r="R233" s="37">
        <f>IF(tb_rechnungen[[#This Row],[Netto]]&lt;&gt;0,ROUND(tb_rechnungen[[#This Row],[Steuer]]/tb_rechnungen[[#This Row],[Netto]],2),"")</f>
        <v/>
      </c>
    </row>
    <row r="234" hidden="1">
      <c r="A234" s="26" t="n">
        <v>45890</v>
      </c>
      <c r="B234" s="27" t="inlineStr">
        <is>
          <t>DKV</t>
        </is>
      </c>
      <c r="C234" s="28" t="inlineStr">
        <is>
          <t>25-645778786-001</t>
        </is>
      </c>
      <c r="D234" s="28" t="inlineStr">
        <is>
          <t>K</t>
        </is>
      </c>
      <c r="E234" s="27" t="inlineStr">
        <is>
          <t>Bis 15.08.2025</t>
        </is>
      </c>
      <c r="F234" s="29" t="n">
        <v>2.98</v>
      </c>
      <c r="G234" s="29" t="n">
        <v>3.55</v>
      </c>
      <c r="H234" s="30" t="inlineStr">
        <is>
          <t>X</t>
        </is>
      </c>
      <c r="I234" s="30" t="inlineStr">
        <is>
          <t>A</t>
        </is>
      </c>
      <c r="J234" s="31" t="inlineStr">
        <is>
          <t>M</t>
        </is>
      </c>
      <c r="K234" s="50" t="n"/>
      <c r="L234" s="50" t="n"/>
      <c r="M234" s="67" t="n"/>
      <c r="N234" s="30" t="n"/>
      <c r="O234" s="12">
        <f>IF(tb_rechnungen[[#This Row],[Re-Datum]]&gt;0,MONTH(tb_rechnungen[[#This Row],[Re-Datum]]),"")</f>
        <v/>
      </c>
      <c r="P234" s="13">
        <f>IF(tb_rechnungen[[#This Row],[Re-Datum]]&gt;0,YEAR(tb_rechnungen[[#This Row],[Re-Datum]]),"")</f>
        <v/>
      </c>
      <c r="Q234" s="19">
        <f>IF(tb_rechnungen[[#This Row],[Brutto]]&lt;&gt;0,tb_rechnungen[[#This Row],[Brutto]]-tb_rechnungen[[#This Row],[Netto]],"")</f>
        <v/>
      </c>
      <c r="R234" s="37">
        <f>IF(tb_rechnungen[[#This Row],[Netto]]&lt;&gt;0,ROUND(tb_rechnungen[[#This Row],[Steuer]]/tb_rechnungen[[#This Row],[Netto]],2),"")</f>
        <v/>
      </c>
    </row>
    <row r="235" hidden="1">
      <c r="A235" s="26" t="n">
        <v>45887</v>
      </c>
      <c r="B235" s="27" t="inlineStr">
        <is>
          <t>Video4Net</t>
        </is>
      </c>
      <c r="C235" s="28" t="inlineStr">
        <is>
          <t>GM-8352</t>
        </is>
      </c>
      <c r="D235" s="28" t="inlineStr">
        <is>
          <t>E</t>
        </is>
      </c>
      <c r="E235" s="27" t="inlineStr">
        <is>
          <t>EDV-Schulung August</t>
        </is>
      </c>
      <c r="F235" s="29" t="n">
        <v>125</v>
      </c>
      <c r="G235" s="29" t="n">
        <v>148.75</v>
      </c>
      <c r="H235" s="30" t="inlineStr">
        <is>
          <t>X</t>
        </is>
      </c>
      <c r="I235" s="30" t="inlineStr">
        <is>
          <t>Z</t>
        </is>
      </c>
      <c r="J235" s="31" t="inlineStr">
        <is>
          <t>M</t>
        </is>
      </c>
      <c r="K235" s="50" t="n"/>
      <c r="L235" s="50" t="n"/>
      <c r="M235" s="67" t="n"/>
      <c r="N235" s="30" t="n"/>
      <c r="O235" s="12">
        <f>IF(tb_rechnungen[[#This Row],[Re-Datum]]&gt;0,MONTH(tb_rechnungen[[#This Row],[Re-Datum]]),"")</f>
        <v/>
      </c>
      <c r="P235" s="13">
        <f>IF(tb_rechnungen[[#This Row],[Re-Datum]]&gt;0,YEAR(tb_rechnungen[[#This Row],[Re-Datum]]),"")</f>
        <v/>
      </c>
      <c r="Q235" s="19">
        <f>IF(tb_rechnungen[[#This Row],[Brutto]]&lt;&gt;0,tb_rechnungen[[#This Row],[Brutto]]-tb_rechnungen[[#This Row],[Netto]],"")</f>
        <v/>
      </c>
      <c r="R235" s="37">
        <f>IF(tb_rechnungen[[#This Row],[Netto]]&lt;&gt;0,ROUND(tb_rechnungen[[#This Row],[Steuer]]/tb_rechnungen[[#This Row],[Netto]],2),"")</f>
        <v/>
      </c>
    </row>
    <row r="236" hidden="1">
      <c r="A236" s="26" t="n">
        <v>45844</v>
      </c>
      <c r="B236" s="27" t="inlineStr">
        <is>
          <t>Video4Net</t>
        </is>
      </c>
      <c r="C236" s="28" t="inlineStr">
        <is>
          <t>GM-8328</t>
        </is>
      </c>
      <c r="D236" s="28" t="inlineStr">
        <is>
          <t>E</t>
        </is>
      </c>
      <c r="E236" s="27" t="inlineStr">
        <is>
          <t>Buchhaltung April</t>
        </is>
      </c>
      <c r="F236" s="29" t="n">
        <v>75</v>
      </c>
      <c r="G236" s="29" t="n">
        <v>89.25</v>
      </c>
      <c r="H236" s="30" t="inlineStr">
        <is>
          <t>X</t>
        </is>
      </c>
      <c r="I236" s="30" t="inlineStr">
        <is>
          <t>Z</t>
        </is>
      </c>
      <c r="J236" s="31" t="inlineStr">
        <is>
          <t>M</t>
        </is>
      </c>
      <c r="K236" s="50" t="n"/>
      <c r="L236" s="50" t="n"/>
      <c r="M236" s="67" t="n"/>
      <c r="N236" s="30" t="n"/>
      <c r="O236" s="12">
        <f>IF(tb_rechnungen[[#This Row],[Re-Datum]]&gt;0,MONTH(tb_rechnungen[[#This Row],[Re-Datum]]),"")</f>
        <v/>
      </c>
      <c r="P236" s="13">
        <f>IF(tb_rechnungen[[#This Row],[Re-Datum]]&gt;0,YEAR(tb_rechnungen[[#This Row],[Re-Datum]]),"")</f>
        <v/>
      </c>
      <c r="Q236" s="19">
        <f>IF(tb_rechnungen[[#This Row],[Brutto]]&lt;&gt;0,tb_rechnungen[[#This Row],[Brutto]]-tb_rechnungen[[#This Row],[Netto]],"")</f>
        <v/>
      </c>
      <c r="R236" s="37">
        <f>IF(tb_rechnungen[[#This Row],[Netto]]&lt;&gt;0,ROUND(tb_rechnungen[[#This Row],[Steuer]]/tb_rechnungen[[#This Row],[Netto]],2),"")</f>
        <v/>
      </c>
    </row>
    <row r="237" hidden="1">
      <c r="A237" s="26" t="n">
        <v>45786</v>
      </c>
      <c r="B237" s="27" t="inlineStr">
        <is>
          <t>Video4Net</t>
        </is>
      </c>
      <c r="C237" s="28" t="inlineStr">
        <is>
          <t>GM-8316</t>
        </is>
      </c>
      <c r="D237" s="28" t="inlineStr">
        <is>
          <t>E</t>
        </is>
      </c>
      <c r="E237" s="27" t="inlineStr">
        <is>
          <t>EDV-Schulung Mai</t>
        </is>
      </c>
      <c r="F237" s="29" t="n">
        <v>75</v>
      </c>
      <c r="G237" s="29" t="n">
        <v>89.25</v>
      </c>
      <c r="H237" s="30" t="inlineStr">
        <is>
          <t>X</t>
        </is>
      </c>
      <c r="I237" s="30" t="inlineStr">
        <is>
          <t>Z</t>
        </is>
      </c>
      <c r="J237" s="31" t="inlineStr">
        <is>
          <t>M</t>
        </is>
      </c>
      <c r="K237" s="50" t="n"/>
      <c r="L237" s="50" t="n"/>
      <c r="M237" s="67" t="n"/>
      <c r="N237" s="30" t="n"/>
      <c r="O237" s="12">
        <f>IF(tb_rechnungen[[#This Row],[Re-Datum]]&gt;0,MONTH(tb_rechnungen[[#This Row],[Re-Datum]]),"")</f>
        <v/>
      </c>
      <c r="P237" s="13">
        <f>IF(tb_rechnungen[[#This Row],[Re-Datum]]&gt;0,YEAR(tb_rechnungen[[#This Row],[Re-Datum]]),"")</f>
        <v/>
      </c>
      <c r="Q237" s="19">
        <f>IF(tb_rechnungen[[#This Row],[Brutto]]&lt;&gt;0,tb_rechnungen[[#This Row],[Brutto]]-tb_rechnungen[[#This Row],[Netto]],"")</f>
        <v/>
      </c>
      <c r="R237" s="37">
        <f>IF(tb_rechnungen[[#This Row],[Netto]]&lt;&gt;0,ROUND(tb_rechnungen[[#This Row],[Steuer]]/tb_rechnungen[[#This Row],[Netto]],2),"")</f>
        <v/>
      </c>
    </row>
    <row r="238" hidden="1">
      <c r="A238" s="26" t="n">
        <v>45896</v>
      </c>
      <c r="B238" s="27" t="inlineStr">
        <is>
          <t>Telekom</t>
        </is>
      </c>
      <c r="C238" s="28" t="inlineStr">
        <is>
          <t>784 442 0830</t>
        </is>
      </c>
      <c r="D238" s="28" t="inlineStr">
        <is>
          <t>K</t>
        </is>
      </c>
      <c r="E238" s="27" t="inlineStr">
        <is>
          <t>LU  August</t>
        </is>
      </c>
      <c r="F238" s="29" t="n">
        <v>39.9</v>
      </c>
      <c r="G238" s="29" t="n">
        <v>47.48</v>
      </c>
      <c r="H238" s="30" t="inlineStr">
        <is>
          <t>X</t>
        </is>
      </c>
      <c r="I238" s="30" t="inlineStr">
        <is>
          <t>A</t>
        </is>
      </c>
      <c r="J238" s="31" t="inlineStr">
        <is>
          <t>M</t>
        </is>
      </c>
      <c r="K238" s="50" t="n"/>
      <c r="L238" s="50" t="n"/>
      <c r="M238" s="67" t="n"/>
      <c r="N238" s="30" t="n"/>
      <c r="O238" s="12">
        <f>IF(tb_rechnungen[[#This Row],[Re-Datum]]&gt;0,MONTH(tb_rechnungen[[#This Row],[Re-Datum]]),"")</f>
        <v/>
      </c>
      <c r="P238" s="13">
        <f>IF(tb_rechnungen[[#This Row],[Re-Datum]]&gt;0,YEAR(tb_rechnungen[[#This Row],[Re-Datum]]),"")</f>
        <v/>
      </c>
      <c r="Q238" s="19">
        <f>IF(tb_rechnungen[[#This Row],[Brutto]]&lt;&gt;0,tb_rechnungen[[#This Row],[Brutto]]-tb_rechnungen[[#This Row],[Netto]],"")</f>
        <v/>
      </c>
      <c r="R238" s="37">
        <f>IF(tb_rechnungen[[#This Row],[Netto]]&lt;&gt;0,ROUND(tb_rechnungen[[#This Row],[Steuer]]/tb_rechnungen[[#This Row],[Netto]],2),"")</f>
        <v/>
      </c>
    </row>
    <row r="239" hidden="1">
      <c r="A239" s="26" t="n">
        <v>45900</v>
      </c>
      <c r="B239" s="27" t="inlineStr">
        <is>
          <t>DTS NFON</t>
        </is>
      </c>
      <c r="C239" s="28" t="inlineStr">
        <is>
          <t>25-13-094485</t>
        </is>
      </c>
      <c r="D239" s="28" t="inlineStr">
        <is>
          <t>K</t>
        </is>
      </c>
      <c r="E239" s="27" t="inlineStr">
        <is>
          <t>August</t>
        </is>
      </c>
      <c r="F239" s="29" t="n">
        <v>22.71</v>
      </c>
      <c r="G239" s="29" t="n">
        <v>27.02</v>
      </c>
      <c r="H239" s="30" t="inlineStr">
        <is>
          <t>X</t>
        </is>
      </c>
      <c r="I239" s="30" t="inlineStr">
        <is>
          <t>A</t>
        </is>
      </c>
      <c r="J239" s="30" t="inlineStr">
        <is>
          <t>M</t>
        </is>
      </c>
      <c r="K239" s="50" t="n"/>
      <c r="L239" s="50" t="n"/>
      <c r="M239" s="67" t="n"/>
      <c r="N239" s="30" t="n"/>
      <c r="O239" s="12">
        <f>IF(tb_rechnungen[[#This Row],[Re-Datum]]&gt;0,MONTH(tb_rechnungen[[#This Row],[Re-Datum]]),"")</f>
        <v/>
      </c>
      <c r="P239" s="13">
        <f>IF(tb_rechnungen[[#This Row],[Re-Datum]]&gt;0,YEAR(tb_rechnungen[[#This Row],[Re-Datum]]),"")</f>
        <v/>
      </c>
      <c r="Q239" s="19">
        <f>IF(tb_rechnungen[[#This Row],[Brutto]]&lt;&gt;0,tb_rechnungen[[#This Row],[Brutto]]-tb_rechnungen[[#This Row],[Netto]],"")</f>
        <v/>
      </c>
      <c r="R239" s="37">
        <f>IF(tb_rechnungen[[#This Row],[Netto]]&lt;&gt;0,ROUND(tb_rechnungen[[#This Row],[Steuer]]/tb_rechnungen[[#This Row],[Netto]],2),"")</f>
        <v/>
      </c>
    </row>
    <row r="240" hidden="1">
      <c r="A240" s="26" t="n">
        <v>45900</v>
      </c>
      <c r="B240" s="27" t="inlineStr">
        <is>
          <t>DKV</t>
        </is>
      </c>
      <c r="C240" s="28" t="inlineStr">
        <is>
          <t>25/645531701/001</t>
        </is>
      </c>
      <c r="D240" s="28" t="inlineStr">
        <is>
          <t>K</t>
        </is>
      </c>
      <c r="E240" s="27" t="inlineStr">
        <is>
          <t>Bis 31.08.2025</t>
        </is>
      </c>
      <c r="F240" s="29" t="n">
        <v>276.83</v>
      </c>
      <c r="G240" s="29" t="n">
        <v>329.43</v>
      </c>
      <c r="H240" s="30" t="inlineStr">
        <is>
          <t>X</t>
        </is>
      </c>
      <c r="I240" s="30" t="inlineStr">
        <is>
          <t>A</t>
        </is>
      </c>
      <c r="J240" s="30" t="inlineStr">
        <is>
          <t>M</t>
        </is>
      </c>
      <c r="K240" s="50" t="n"/>
      <c r="L240" s="50" t="n"/>
      <c r="M240" s="67" t="n"/>
      <c r="N240" s="30" t="n"/>
      <c r="O240" s="12">
        <f>IF(tb_rechnungen[[#This Row],[Re-Datum]]&gt;0,MONTH(tb_rechnungen[[#This Row],[Re-Datum]]),"")</f>
        <v/>
      </c>
      <c r="P240" s="13">
        <f>IF(tb_rechnungen[[#This Row],[Re-Datum]]&gt;0,YEAR(tb_rechnungen[[#This Row],[Re-Datum]]),"")</f>
        <v/>
      </c>
      <c r="Q240" s="19">
        <f>IF(tb_rechnungen[[#This Row],[Brutto]]&lt;&gt;0,tb_rechnungen[[#This Row],[Brutto]]-tb_rechnungen[[#This Row],[Netto]],"")</f>
        <v/>
      </c>
      <c r="R240" s="37">
        <f>IF(tb_rechnungen[[#This Row],[Netto]]&lt;&gt;0,ROUND(tb_rechnungen[[#This Row],[Steuer]]/tb_rechnungen[[#This Row],[Netto]],2),"")</f>
        <v/>
      </c>
    </row>
    <row r="241" hidden="1">
      <c r="A241" s="26" t="n">
        <v>45901</v>
      </c>
      <c r="B241" s="27" t="inlineStr">
        <is>
          <t>VW Leasing</t>
        </is>
      </c>
      <c r="C241" s="28" t="inlineStr">
        <is>
          <t>R10249613329</t>
        </is>
      </c>
      <c r="D241" s="28" t="inlineStr">
        <is>
          <t>K</t>
        </is>
      </c>
      <c r="E241" s="27" t="inlineStr">
        <is>
          <t>Rate 09.2025</t>
        </is>
      </c>
      <c r="F241" s="29" t="n">
        <v>37.43</v>
      </c>
      <c r="G241" s="29" t="n">
        <v>44.54</v>
      </c>
      <c r="H241" s="30" t="inlineStr">
        <is>
          <t>X</t>
        </is>
      </c>
      <c r="I241" s="30" t="inlineStr">
        <is>
          <t>A</t>
        </is>
      </c>
      <c r="J241" s="31" t="inlineStr">
        <is>
          <t>M</t>
        </is>
      </c>
      <c r="K241" s="50" t="n"/>
      <c r="L241" s="50" t="n"/>
      <c r="M241" s="67" t="n"/>
      <c r="N241" s="30" t="n"/>
      <c r="O241" s="12">
        <f>IF(tb_rechnungen[[#This Row],[Re-Datum]]&gt;0,MONTH(tb_rechnungen[[#This Row],[Re-Datum]]),"")</f>
        <v/>
      </c>
      <c r="P241" s="13">
        <f>IF(tb_rechnungen[[#This Row],[Re-Datum]]&gt;0,YEAR(tb_rechnungen[[#This Row],[Re-Datum]]),"")</f>
        <v/>
      </c>
      <c r="Q241" s="19">
        <f>IF(tb_rechnungen[[#This Row],[Brutto]]&lt;&gt;0,tb_rechnungen[[#This Row],[Brutto]]-tb_rechnungen[[#This Row],[Netto]],"")</f>
        <v/>
      </c>
      <c r="R241" s="37">
        <f>IF(tb_rechnungen[[#This Row],[Netto]]&lt;&gt;0,ROUND(tb_rechnungen[[#This Row],[Steuer]]/tb_rechnungen[[#This Row],[Netto]],2),"")</f>
        <v/>
      </c>
    </row>
    <row r="242" hidden="1">
      <c r="A242" s="26" t="n">
        <v>45902</v>
      </c>
      <c r="B242" s="27" t="inlineStr">
        <is>
          <t>Haus&amp;Grund</t>
        </is>
      </c>
      <c r="C242" s="28" t="inlineStr">
        <is>
          <t>Miete 09/2025</t>
        </is>
      </c>
      <c r="D242" s="28" t="inlineStr">
        <is>
          <t>K</t>
        </is>
      </c>
      <c r="E242" s="27" t="inlineStr">
        <is>
          <t>Miete</t>
        </is>
      </c>
      <c r="F242" s="29" t="n">
        <v>225</v>
      </c>
      <c r="G242" s="29" t="n">
        <v>225</v>
      </c>
      <c r="H242" s="30" t="inlineStr">
        <is>
          <t>X</t>
        </is>
      </c>
      <c r="I242" s="30" t="inlineStr">
        <is>
          <t>D</t>
        </is>
      </c>
      <c r="J242" s="30" t="inlineStr">
        <is>
          <t>M</t>
        </is>
      </c>
      <c r="K242" s="50" t="n"/>
      <c r="L242" s="50" t="n"/>
      <c r="M242" s="67" t="n"/>
      <c r="N242" s="30" t="n"/>
      <c r="O242" s="12">
        <f>IF(tb_rechnungen[[#This Row],[Re-Datum]]&gt;0,MONTH(tb_rechnungen[[#This Row],[Re-Datum]]),"")</f>
        <v/>
      </c>
      <c r="P242" s="13">
        <f>IF(tb_rechnungen[[#This Row],[Re-Datum]]&gt;0,YEAR(tb_rechnungen[[#This Row],[Re-Datum]]),"")</f>
        <v/>
      </c>
      <c r="Q242" s="19">
        <f>IF(tb_rechnungen[[#This Row],[Brutto]]&lt;&gt;0,tb_rechnungen[[#This Row],[Brutto]]-tb_rechnungen[[#This Row],[Netto]],"")</f>
        <v/>
      </c>
      <c r="R242" s="37">
        <f>IF(tb_rechnungen[[#This Row],[Netto]]&lt;&gt;0,ROUND(tb_rechnungen[[#This Row],[Steuer]]/tb_rechnungen[[#This Row],[Netto]],2),"")</f>
        <v/>
      </c>
    </row>
    <row r="243" hidden="1">
      <c r="A243" s="26" t="n">
        <v>45909</v>
      </c>
      <c r="B243" s="27" t="inlineStr">
        <is>
          <t>Wortmann</t>
        </is>
      </c>
      <c r="C243" s="28" t="inlineStr">
        <is>
          <t>DR8861542</t>
        </is>
      </c>
      <c r="D243" s="28" t="inlineStr">
        <is>
          <t>E</t>
        </is>
      </c>
      <c r="E243" s="27" t="inlineStr">
        <is>
          <t>August</t>
        </is>
      </c>
      <c r="F243" s="29" t="n">
        <v>9.9</v>
      </c>
      <c r="G243" s="29" t="n">
        <v>11.78</v>
      </c>
      <c r="H243" s="30" t="inlineStr">
        <is>
          <t>X</t>
        </is>
      </c>
      <c r="I243" s="30" t="inlineStr">
        <is>
          <t>Z</t>
        </is>
      </c>
      <c r="J243" s="31" t="inlineStr">
        <is>
          <t>M</t>
        </is>
      </c>
      <c r="K243" s="50" t="n"/>
      <c r="L243" s="50" t="n"/>
      <c r="M243" s="67" t="n"/>
      <c r="N243" s="30" t="n"/>
      <c r="O243" s="12">
        <f>IF(tb_rechnungen[[#This Row],[Re-Datum]]&gt;0,MONTH(tb_rechnungen[[#This Row],[Re-Datum]]),"")</f>
        <v/>
      </c>
      <c r="P243" s="13">
        <f>IF(tb_rechnungen[[#This Row],[Re-Datum]]&gt;0,YEAR(tb_rechnungen[[#This Row],[Re-Datum]]),"")</f>
        <v/>
      </c>
      <c r="Q243" s="19">
        <f>IF(tb_rechnungen[[#This Row],[Brutto]]&lt;&gt;0,tb_rechnungen[[#This Row],[Brutto]]-tb_rechnungen[[#This Row],[Netto]],"")</f>
        <v/>
      </c>
      <c r="R243" s="37">
        <f>IF(tb_rechnungen[[#This Row],[Netto]]&lt;&gt;0,ROUND(tb_rechnungen[[#This Row],[Steuer]]/tb_rechnungen[[#This Row],[Netto]],2),"")</f>
        <v/>
      </c>
    </row>
    <row r="244" hidden="1">
      <c r="A244" s="26" t="n">
        <v>45910</v>
      </c>
      <c r="B244" s="27" t="inlineStr">
        <is>
          <t>Ratiokontakt</t>
        </is>
      </c>
      <c r="C244" s="28" t="inlineStr">
        <is>
          <t>R10885796</t>
        </is>
      </c>
      <c r="D244" s="28" t="inlineStr">
        <is>
          <t>E</t>
        </is>
      </c>
      <c r="E244" s="27" t="inlineStr">
        <is>
          <t>August</t>
        </is>
      </c>
      <c r="F244" s="29" t="n">
        <v>29.9</v>
      </c>
      <c r="G244" s="29" t="n">
        <v>35.58</v>
      </c>
      <c r="H244" s="30" t="inlineStr">
        <is>
          <t>X</t>
        </is>
      </c>
      <c r="I244" s="30" t="inlineStr">
        <is>
          <t>A</t>
        </is>
      </c>
      <c r="J244" s="31" t="inlineStr">
        <is>
          <t>M</t>
        </is>
      </c>
      <c r="K244" s="50" t="n"/>
      <c r="L244" s="50" t="n"/>
      <c r="M244" s="67" t="n"/>
      <c r="N244" s="30" t="n"/>
      <c r="O244" s="12">
        <f>IF(tb_rechnungen[[#This Row],[Re-Datum]]&gt;0,MONTH(tb_rechnungen[[#This Row],[Re-Datum]]),"")</f>
        <v/>
      </c>
      <c r="P244" s="13">
        <f>IF(tb_rechnungen[[#This Row],[Re-Datum]]&gt;0,YEAR(tb_rechnungen[[#This Row],[Re-Datum]]),"")</f>
        <v/>
      </c>
      <c r="Q244" s="19">
        <f>IF(tb_rechnungen[[#This Row],[Brutto]]&lt;&gt;0,tb_rechnungen[[#This Row],[Brutto]]-tb_rechnungen[[#This Row],[Netto]],"")</f>
        <v/>
      </c>
      <c r="R244" s="37">
        <f>IF(tb_rechnungen[[#This Row],[Netto]]&lt;&gt;0,ROUND(tb_rechnungen[[#This Row],[Steuer]]/tb_rechnungen[[#This Row],[Netto]],2),"")</f>
        <v/>
      </c>
    </row>
    <row r="245" hidden="1">
      <c r="A245" s="26" t="n">
        <v>45910</v>
      </c>
      <c r="B245" s="27" t="inlineStr">
        <is>
          <t>Telekom</t>
        </is>
      </c>
      <c r="C245" s="28" t="inlineStr">
        <is>
          <t>R35044731000551</t>
        </is>
      </c>
      <c r="D245" s="28" t="inlineStr">
        <is>
          <t>K</t>
        </is>
      </c>
      <c r="E245" s="27" t="inlineStr">
        <is>
          <t>August</t>
        </is>
      </c>
      <c r="F245" s="29" t="n">
        <v>12.59</v>
      </c>
      <c r="G245" s="29" t="n">
        <v>14.95</v>
      </c>
      <c r="H245" s="30" t="inlineStr">
        <is>
          <t>X</t>
        </is>
      </c>
      <c r="I245" s="30" t="inlineStr">
        <is>
          <t>A</t>
        </is>
      </c>
      <c r="J245" s="31" t="inlineStr">
        <is>
          <t>M</t>
        </is>
      </c>
      <c r="K245" s="50" t="n"/>
      <c r="L245" s="50" t="n"/>
      <c r="M245" s="67" t="n"/>
      <c r="N245" s="30" t="n"/>
      <c r="O245" s="12">
        <f>IF(tb_rechnungen[[#This Row],[Re-Datum]]&gt;0,MONTH(tb_rechnungen[[#This Row],[Re-Datum]]),"")</f>
        <v/>
      </c>
      <c r="P245" s="13">
        <f>IF(tb_rechnungen[[#This Row],[Re-Datum]]&gt;0,YEAR(tb_rechnungen[[#This Row],[Re-Datum]]),"")</f>
        <v/>
      </c>
      <c r="Q245" s="19">
        <f>IF(tb_rechnungen[[#This Row],[Brutto]]&lt;&gt;0,tb_rechnungen[[#This Row],[Brutto]]-tb_rechnungen[[#This Row],[Netto]],"")</f>
        <v/>
      </c>
      <c r="R245" s="37">
        <f>IF(tb_rechnungen[[#This Row],[Netto]]&lt;&gt;0,ROUND(tb_rechnungen[[#This Row],[Steuer]]/tb_rechnungen[[#This Row],[Netto]],2),"")</f>
        <v/>
      </c>
    </row>
    <row r="246" hidden="1">
      <c r="A246" s="26" t="n">
        <v>45911</v>
      </c>
      <c r="B246" s="27" t="inlineStr">
        <is>
          <t>Sage</t>
        </is>
      </c>
      <c r="C246" s="28" t="inlineStr">
        <is>
          <t>2025-1269475</t>
        </is>
      </c>
      <c r="D246" s="28" t="inlineStr">
        <is>
          <t>K</t>
        </is>
      </c>
      <c r="E246" s="27" t="inlineStr">
        <is>
          <t>August</t>
        </is>
      </c>
      <c r="F246" s="29" t="n">
        <v>15.5</v>
      </c>
      <c r="G246" s="29" t="n">
        <v>18.45</v>
      </c>
      <c r="H246" s="30" t="inlineStr">
        <is>
          <t>X</t>
        </is>
      </c>
      <c r="I246" s="30" t="inlineStr">
        <is>
          <t>A</t>
        </is>
      </c>
      <c r="J246" s="31" t="inlineStr">
        <is>
          <t>M</t>
        </is>
      </c>
      <c r="K246" s="50" t="n"/>
      <c r="L246" s="50" t="n"/>
      <c r="M246" s="67" t="n"/>
      <c r="N246" s="30" t="n"/>
      <c r="O246" s="12">
        <f>IF(tb_rechnungen[[#This Row],[Re-Datum]]&gt;0,MONTH(tb_rechnungen[[#This Row],[Re-Datum]]),"")</f>
        <v/>
      </c>
      <c r="P246" s="13">
        <f>IF(tb_rechnungen[[#This Row],[Re-Datum]]&gt;0,YEAR(tb_rechnungen[[#This Row],[Re-Datum]]),"")</f>
        <v/>
      </c>
      <c r="Q246" s="19">
        <f>IF(tb_rechnungen[[#This Row],[Brutto]]&lt;&gt;0,tb_rechnungen[[#This Row],[Brutto]]-tb_rechnungen[[#This Row],[Netto]],"")</f>
        <v/>
      </c>
      <c r="R246" s="37">
        <f>IF(tb_rechnungen[[#This Row],[Netto]]&lt;&gt;0,ROUND(tb_rechnungen[[#This Row],[Steuer]]/tb_rechnungen[[#This Row],[Netto]],2),"")</f>
        <v/>
      </c>
    </row>
    <row r="247" hidden="1">
      <c r="A247" s="26" t="n">
        <v>45915</v>
      </c>
      <c r="B247" s="27" t="inlineStr">
        <is>
          <t>Starbuero</t>
        </is>
      </c>
      <c r="C247" s="28" t="inlineStr">
        <is>
          <t>SB2025-41237</t>
        </is>
      </c>
      <c r="D247" s="28" t="inlineStr">
        <is>
          <t>K</t>
        </is>
      </c>
      <c r="E247" s="27" t="inlineStr">
        <is>
          <t>August</t>
        </is>
      </c>
      <c r="F247" s="29" t="n">
        <v>4.8</v>
      </c>
      <c r="G247" s="29" t="n">
        <v>5.71</v>
      </c>
      <c r="H247" s="30" t="inlineStr">
        <is>
          <t>X</t>
        </is>
      </c>
      <c r="I247" s="30" t="inlineStr">
        <is>
          <t>A</t>
        </is>
      </c>
      <c r="J247" s="31" t="inlineStr">
        <is>
          <t>M</t>
        </is>
      </c>
      <c r="K247" s="50" t="n"/>
      <c r="L247" s="50" t="n"/>
      <c r="M247" s="67" t="n"/>
      <c r="N247" s="30" t="n"/>
      <c r="O247" s="12">
        <f>IF(tb_rechnungen[[#This Row],[Re-Datum]]&gt;0,MONTH(tb_rechnungen[[#This Row],[Re-Datum]]),"")</f>
        <v/>
      </c>
      <c r="P247" s="13">
        <f>IF(tb_rechnungen[[#This Row],[Re-Datum]]&gt;0,YEAR(tb_rechnungen[[#This Row],[Re-Datum]]),"")</f>
        <v/>
      </c>
      <c r="Q247" s="19">
        <f>IF(tb_rechnungen[[#This Row],[Brutto]]&lt;&gt;0,tb_rechnungen[[#This Row],[Brutto]]-tb_rechnungen[[#This Row],[Netto]],"")</f>
        <v/>
      </c>
      <c r="R247" s="37">
        <f>IF(tb_rechnungen[[#This Row],[Netto]]&lt;&gt;0,ROUND(tb_rechnungen[[#This Row],[Steuer]]/tb_rechnungen[[#This Row],[Netto]],2),"")</f>
        <v/>
      </c>
    </row>
    <row r="248" hidden="1">
      <c r="A248" s="26" t="n">
        <v>45916</v>
      </c>
      <c r="B248" s="27" t="inlineStr">
        <is>
          <t>Telekom</t>
        </is>
      </c>
      <c r="C248" s="28" t="inlineStr">
        <is>
          <t>R7854176324</t>
        </is>
      </c>
      <c r="D248" s="28" t="inlineStr">
        <is>
          <t>K</t>
        </is>
      </c>
      <c r="E248" s="27" t="inlineStr">
        <is>
          <t>September Schulze</t>
        </is>
      </c>
      <c r="F248" s="29" t="n">
        <v>33.57</v>
      </c>
      <c r="G248" s="29" t="n">
        <v>39.95</v>
      </c>
      <c r="H248" s="30" t="inlineStr">
        <is>
          <t>X</t>
        </is>
      </c>
      <c r="I248" s="30" t="inlineStr">
        <is>
          <t>A</t>
        </is>
      </c>
      <c r="J248" s="31" t="inlineStr">
        <is>
          <t>M</t>
        </is>
      </c>
      <c r="K248" s="50" t="n"/>
      <c r="L248" s="50" t="n"/>
      <c r="M248" s="67" t="n"/>
      <c r="N248" s="30" t="n"/>
      <c r="O248" s="12">
        <f>IF(tb_rechnungen[[#This Row],[Re-Datum]]&gt;0,MONTH(tb_rechnungen[[#This Row],[Re-Datum]]),"")</f>
        <v/>
      </c>
      <c r="P248" s="13">
        <f>IF(tb_rechnungen[[#This Row],[Re-Datum]]&gt;0,YEAR(tb_rechnungen[[#This Row],[Re-Datum]]),"")</f>
        <v/>
      </c>
      <c r="Q248" s="19">
        <f>IF(tb_rechnungen[[#This Row],[Brutto]]&lt;&gt;0,tb_rechnungen[[#This Row],[Brutto]]-tb_rechnungen[[#This Row],[Netto]],"")</f>
        <v/>
      </c>
      <c r="R248" s="37">
        <f>IF(tb_rechnungen[[#This Row],[Netto]]&lt;&gt;0,ROUND(tb_rechnungen[[#This Row],[Steuer]]/tb_rechnungen[[#This Row],[Netto]],2),"")</f>
        <v/>
      </c>
    </row>
    <row r="249" hidden="1">
      <c r="A249" s="26" t="n">
        <v>45915</v>
      </c>
      <c r="B249" s="27" t="inlineStr">
        <is>
          <t>Blau</t>
        </is>
      </c>
      <c r="C249" s="28" t="inlineStr">
        <is>
          <t>1356712414/08</t>
        </is>
      </c>
      <c r="D249" s="28" t="inlineStr">
        <is>
          <t>K</t>
        </is>
      </c>
      <c r="E249" s="27" t="inlineStr">
        <is>
          <t>September Faszl</t>
        </is>
      </c>
      <c r="F249" s="29" t="n">
        <v>6.71</v>
      </c>
      <c r="G249" s="29" t="n">
        <v>7.99</v>
      </c>
      <c r="H249" s="30" t="inlineStr">
        <is>
          <t>X</t>
        </is>
      </c>
      <c r="I249" s="30" t="inlineStr">
        <is>
          <t>A</t>
        </is>
      </c>
      <c r="J249" s="31" t="inlineStr">
        <is>
          <t>M</t>
        </is>
      </c>
      <c r="K249" s="50" t="n"/>
      <c r="L249" s="50" t="n"/>
      <c r="M249" s="67" t="n"/>
      <c r="N249" s="30" t="n"/>
      <c r="O249" s="12">
        <f>IF(tb_rechnungen[[#This Row],[Re-Datum]]&gt;0,MONTH(tb_rechnungen[[#This Row],[Re-Datum]]),"")</f>
        <v/>
      </c>
      <c r="P249" s="13">
        <f>IF(tb_rechnungen[[#This Row],[Re-Datum]]&gt;0,YEAR(tb_rechnungen[[#This Row],[Re-Datum]]),"")</f>
        <v/>
      </c>
      <c r="Q249" s="19">
        <f>IF(tb_rechnungen[[#This Row],[Brutto]]&lt;&gt;0,tb_rechnungen[[#This Row],[Brutto]]-tb_rechnungen[[#This Row],[Netto]],"")</f>
        <v/>
      </c>
      <c r="R249" s="37">
        <f>IF(tb_rechnungen[[#This Row],[Netto]]&lt;&gt;0,ROUND(tb_rechnungen[[#This Row],[Steuer]]/tb_rechnungen[[#This Row],[Netto]],2),"")</f>
        <v/>
      </c>
    </row>
    <row r="250" hidden="1">
      <c r="A250" s="26" t="n">
        <v>45917</v>
      </c>
      <c r="B250" s="27" t="inlineStr">
        <is>
          <t>Wolkesicher</t>
        </is>
      </c>
      <c r="C250" s="28" t="inlineStr">
        <is>
          <t>RG 397091</t>
        </is>
      </c>
      <c r="D250" s="28" t="inlineStr">
        <is>
          <t>K</t>
        </is>
      </c>
      <c r="E250" s="27" t="inlineStr">
        <is>
          <t>Oktober</t>
        </is>
      </c>
      <c r="F250" s="29" t="n">
        <v>4.19</v>
      </c>
      <c r="G250" s="29" t="n">
        <v>4.99</v>
      </c>
      <c r="H250" s="30" t="inlineStr">
        <is>
          <t>X</t>
        </is>
      </c>
      <c r="I250" s="30" t="inlineStr">
        <is>
          <t>A</t>
        </is>
      </c>
      <c r="J250" s="31" t="inlineStr">
        <is>
          <t>M</t>
        </is>
      </c>
      <c r="K250" s="50" t="n"/>
      <c r="L250" s="50" t="n"/>
      <c r="M250" s="67" t="n"/>
      <c r="N250" s="30" t="n"/>
      <c r="O250" s="12">
        <f>IF(tb_rechnungen[[#This Row],[Re-Datum]]&gt;0,MONTH(tb_rechnungen[[#This Row],[Re-Datum]]),"")</f>
        <v/>
      </c>
      <c r="P250" s="13">
        <f>IF(tb_rechnungen[[#This Row],[Re-Datum]]&gt;0,YEAR(tb_rechnungen[[#This Row],[Re-Datum]]),"")</f>
        <v/>
      </c>
      <c r="Q250" s="19">
        <f>IF(tb_rechnungen[[#This Row],[Brutto]]&lt;&gt;0,tb_rechnungen[[#This Row],[Brutto]]-tb_rechnungen[[#This Row],[Netto]],"")</f>
        <v/>
      </c>
      <c r="R250" s="37">
        <f>IF(tb_rechnungen[[#This Row],[Netto]]&lt;&gt;0,ROUND(tb_rechnungen[[#This Row],[Steuer]]/tb_rechnungen[[#This Row],[Netto]],2),"")</f>
        <v/>
      </c>
    </row>
    <row r="251" hidden="1">
      <c r="A251" s="26" t="n">
        <v>45917</v>
      </c>
      <c r="B251" s="27" t="inlineStr">
        <is>
          <t>Sage</t>
        </is>
      </c>
      <c r="C251" s="28" t="inlineStr">
        <is>
          <t>2025-1286112</t>
        </is>
      </c>
      <c r="D251" s="28" t="inlineStr">
        <is>
          <t>E</t>
        </is>
      </c>
      <c r="E251" s="27" t="inlineStr">
        <is>
          <t>Sage SSP Partnervertrag bis 30.09.2025</t>
        </is>
      </c>
      <c r="F251" s="29" t="n">
        <v>750</v>
      </c>
      <c r="G251" s="29" t="n">
        <v>892.5</v>
      </c>
      <c r="H251" s="30" t="inlineStr">
        <is>
          <t>X</t>
        </is>
      </c>
      <c r="I251" s="30" t="inlineStr">
        <is>
          <t>A</t>
        </is>
      </c>
      <c r="J251" s="31" t="inlineStr">
        <is>
          <t>M</t>
        </is>
      </c>
      <c r="K251" s="50" t="n"/>
      <c r="L251" s="50" t="n"/>
      <c r="M251" s="67" t="n"/>
      <c r="N251" s="30" t="n"/>
      <c r="O251" s="12">
        <f>IF(tb_rechnungen[[#This Row],[Re-Datum]]&gt;0,MONTH(tb_rechnungen[[#This Row],[Re-Datum]]),"")</f>
        <v/>
      </c>
      <c r="P251" s="13">
        <f>IF(tb_rechnungen[[#This Row],[Re-Datum]]&gt;0,YEAR(tb_rechnungen[[#This Row],[Re-Datum]]),"")</f>
        <v/>
      </c>
      <c r="Q251" s="19">
        <f>IF(tb_rechnungen[[#This Row],[Brutto]]&lt;&gt;0,tb_rechnungen[[#This Row],[Brutto]]-tb_rechnungen[[#This Row],[Netto]],"")</f>
        <v/>
      </c>
      <c r="R251" s="37">
        <f>IF(tb_rechnungen[[#This Row],[Netto]]&lt;&gt;0,ROUND(tb_rechnungen[[#This Row],[Steuer]]/tb_rechnungen[[#This Row],[Netto]],2),"")</f>
        <v/>
      </c>
    </row>
    <row r="252" hidden="1">
      <c r="A252" s="26" t="n">
        <v>45919</v>
      </c>
      <c r="B252" s="27" t="inlineStr">
        <is>
          <t>Telekom</t>
        </is>
      </c>
      <c r="C252" s="28" t="inlineStr">
        <is>
          <t>R7857003821</t>
        </is>
      </c>
      <c r="D252" s="28" t="inlineStr">
        <is>
          <t>K</t>
        </is>
      </c>
      <c r="E252" s="27" t="inlineStr">
        <is>
          <t>September Faszl</t>
        </is>
      </c>
      <c r="F252" s="29" t="n">
        <v>37.77</v>
      </c>
      <c r="G252" s="29" t="n">
        <v>44.95</v>
      </c>
      <c r="H252" s="30" t="inlineStr">
        <is>
          <t>X</t>
        </is>
      </c>
      <c r="I252" s="30" t="inlineStr">
        <is>
          <t>A</t>
        </is>
      </c>
      <c r="J252" s="31" t="inlineStr">
        <is>
          <t>M</t>
        </is>
      </c>
      <c r="K252" s="50" t="n"/>
      <c r="L252" s="50" t="n"/>
      <c r="M252" s="67" t="n"/>
      <c r="N252" s="30" t="n"/>
      <c r="O252" s="12">
        <f>IF(tb_rechnungen[[#This Row],[Re-Datum]]&gt;0,MONTH(tb_rechnungen[[#This Row],[Re-Datum]]),"")</f>
        <v/>
      </c>
      <c r="P252" s="13">
        <f>IF(tb_rechnungen[[#This Row],[Re-Datum]]&gt;0,YEAR(tb_rechnungen[[#This Row],[Re-Datum]]),"")</f>
        <v/>
      </c>
      <c r="Q252" s="19">
        <f>IF(tb_rechnungen[[#This Row],[Brutto]]&lt;&gt;0,tb_rechnungen[[#This Row],[Brutto]]-tb_rechnungen[[#This Row],[Netto]],"")</f>
        <v/>
      </c>
      <c r="R252" s="37">
        <f>IF(tb_rechnungen[[#This Row],[Netto]]&lt;&gt;0,ROUND(tb_rechnungen[[#This Row],[Steuer]]/tb_rechnungen[[#This Row],[Netto]],2),"")</f>
        <v/>
      </c>
    </row>
    <row r="253" hidden="1">
      <c r="A253" s="26" t="n">
        <v>45915</v>
      </c>
      <c r="B253" s="27" t="inlineStr">
        <is>
          <t>DKV</t>
        </is>
      </c>
      <c r="C253" s="28" t="inlineStr">
        <is>
          <t>25/646508233/001</t>
        </is>
      </c>
      <c r="D253" s="28" t="inlineStr">
        <is>
          <t>K</t>
        </is>
      </c>
      <c r="E253" s="27" t="inlineStr">
        <is>
          <t xml:space="preserve">September </t>
        </is>
      </c>
      <c r="F253" s="29" t="n">
        <v>60.53</v>
      </c>
      <c r="G253" s="29" t="n">
        <v>72.03</v>
      </c>
      <c r="H253" s="30" t="inlineStr">
        <is>
          <t>X</t>
        </is>
      </c>
      <c r="I253" s="30" t="inlineStr">
        <is>
          <t>A</t>
        </is>
      </c>
      <c r="J253" s="31" t="inlineStr">
        <is>
          <t>M</t>
        </is>
      </c>
      <c r="K253" s="50" t="n"/>
      <c r="L253" s="50" t="n"/>
      <c r="M253" s="67" t="n"/>
      <c r="N253" s="30" t="n"/>
      <c r="O253" s="12">
        <f>IF(tb_rechnungen[[#This Row],[Re-Datum]]&gt;0,MONTH(tb_rechnungen[[#This Row],[Re-Datum]]),"")</f>
        <v/>
      </c>
      <c r="P253" s="13">
        <f>IF(tb_rechnungen[[#This Row],[Re-Datum]]&gt;0,YEAR(tb_rechnungen[[#This Row],[Re-Datum]]),"")</f>
        <v/>
      </c>
      <c r="Q253" s="19">
        <f>IF(tb_rechnungen[[#This Row],[Brutto]]&lt;&gt;0,tb_rechnungen[[#This Row],[Brutto]]-tb_rechnungen[[#This Row],[Netto]],"")</f>
        <v/>
      </c>
      <c r="R253" s="37">
        <f>IF(tb_rechnungen[[#This Row],[Netto]]&lt;&gt;0,ROUND(tb_rechnungen[[#This Row],[Steuer]]/tb_rechnungen[[#This Row],[Netto]],2),"")</f>
        <v/>
      </c>
    </row>
    <row r="254" hidden="1">
      <c r="A254" s="26" t="n">
        <v>45926</v>
      </c>
      <c r="B254" s="27" t="inlineStr">
        <is>
          <t>Telekom</t>
        </is>
      </c>
      <c r="C254" s="28" t="inlineStr">
        <is>
          <t>786 072 6415</t>
        </is>
      </c>
      <c r="D254" s="28" t="inlineStr">
        <is>
          <t>K</t>
        </is>
      </c>
      <c r="E254" s="27" t="inlineStr">
        <is>
          <t>Oktober Büro</t>
        </is>
      </c>
      <c r="F254" s="29" t="n">
        <v>39.9</v>
      </c>
      <c r="G254" s="29" t="n">
        <v>47.48</v>
      </c>
      <c r="H254" s="30" t="inlineStr">
        <is>
          <t>X</t>
        </is>
      </c>
      <c r="I254" s="30" t="inlineStr">
        <is>
          <t>A</t>
        </is>
      </c>
      <c r="J254" s="31" t="inlineStr">
        <is>
          <t>M</t>
        </is>
      </c>
      <c r="K254" s="50" t="n"/>
      <c r="L254" s="50" t="n"/>
      <c r="M254" s="67" t="n"/>
      <c r="N254" s="30" t="n"/>
      <c r="O254" s="12">
        <f>IF(tb_rechnungen[[#This Row],[Re-Datum]]&gt;0,MONTH(tb_rechnungen[[#This Row],[Re-Datum]]),"")</f>
        <v/>
      </c>
      <c r="P254" s="13">
        <f>IF(tb_rechnungen[[#This Row],[Re-Datum]]&gt;0,YEAR(tb_rechnungen[[#This Row],[Re-Datum]]),"")</f>
        <v/>
      </c>
      <c r="Q254" s="19">
        <f>IF(tb_rechnungen[[#This Row],[Brutto]]&lt;&gt;0,tb_rechnungen[[#This Row],[Brutto]]-tb_rechnungen[[#This Row],[Netto]],"")</f>
        <v/>
      </c>
      <c r="R254" s="37">
        <f>IF(tb_rechnungen[[#This Row],[Netto]]&lt;&gt;0,ROUND(tb_rechnungen[[#This Row],[Steuer]]/tb_rechnungen[[#This Row],[Netto]],2),"")</f>
        <v/>
      </c>
    </row>
    <row r="255" hidden="1">
      <c r="A255" s="26" t="n">
        <v>45926</v>
      </c>
      <c r="B255" s="27" t="inlineStr">
        <is>
          <t>Allianz</t>
        </is>
      </c>
      <c r="C255" s="28" t="inlineStr">
        <is>
          <t>AS-1553704076</t>
        </is>
      </c>
      <c r="D255" s="28" t="inlineStr">
        <is>
          <t>K</t>
        </is>
      </c>
      <c r="E255" s="27" t="inlineStr">
        <is>
          <t>Beitrag bis 22.11.2026</t>
        </is>
      </c>
      <c r="F255" s="29" t="n">
        <v>595.13</v>
      </c>
      <c r="G255" s="29" t="n">
        <v>708.2</v>
      </c>
      <c r="H255" s="30" t="inlineStr">
        <is>
          <t>X</t>
        </is>
      </c>
      <c r="I255" s="30" t="inlineStr">
        <is>
          <t>Z</t>
        </is>
      </c>
      <c r="J255" s="31" t="inlineStr">
        <is>
          <t>M</t>
        </is>
      </c>
      <c r="K255" s="50" t="n"/>
      <c r="L255" s="50" t="n"/>
      <c r="M255" s="67" t="n"/>
      <c r="N255" s="30" t="n"/>
      <c r="O255" s="12">
        <f>IF(tb_rechnungen[[#This Row],[Re-Datum]]&gt;0,MONTH(tb_rechnungen[[#This Row],[Re-Datum]]),"")</f>
        <v/>
      </c>
      <c r="P255" s="13">
        <f>IF(tb_rechnungen[[#This Row],[Re-Datum]]&gt;0,YEAR(tb_rechnungen[[#This Row],[Re-Datum]]),"")</f>
        <v/>
      </c>
      <c r="Q255" s="19">
        <f>IF(tb_rechnungen[[#This Row],[Brutto]]&lt;&gt;0,tb_rechnungen[[#This Row],[Brutto]]-tb_rechnungen[[#This Row],[Netto]],"")</f>
        <v/>
      </c>
      <c r="R255" s="37">
        <f>IF(tb_rechnungen[[#This Row],[Netto]]&lt;&gt;0,ROUND(tb_rechnungen[[#This Row],[Steuer]]/tb_rechnungen[[#This Row],[Netto]],2),"")</f>
        <v/>
      </c>
    </row>
    <row r="256" hidden="1">
      <c r="A256" s="26" t="n">
        <v>45926</v>
      </c>
      <c r="B256" s="27" t="inlineStr">
        <is>
          <t>Allianz</t>
        </is>
      </c>
      <c r="C256" s="28" t="inlineStr">
        <is>
          <t>AS-1553704090</t>
        </is>
      </c>
      <c r="D256" s="28" t="inlineStr">
        <is>
          <t>K</t>
        </is>
      </c>
      <c r="E256" s="27" t="inlineStr">
        <is>
          <t>Beitrag bis 22.11.2026</t>
        </is>
      </c>
      <c r="F256" s="29" t="n">
        <v>244.4</v>
      </c>
      <c r="G256" s="29" t="n">
        <v>290.84</v>
      </c>
      <c r="H256" s="30" t="inlineStr">
        <is>
          <t>X</t>
        </is>
      </c>
      <c r="I256" s="30" t="inlineStr">
        <is>
          <t>Z</t>
        </is>
      </c>
      <c r="J256" s="31" t="inlineStr">
        <is>
          <t>M</t>
        </is>
      </c>
      <c r="K256" s="50" t="n"/>
      <c r="L256" s="50" t="n"/>
      <c r="M256" s="67" t="n"/>
      <c r="N256" s="30" t="n"/>
      <c r="O256" s="12">
        <f>IF(tb_rechnungen[[#This Row],[Re-Datum]]&gt;0,MONTH(tb_rechnungen[[#This Row],[Re-Datum]]),"")</f>
        <v/>
      </c>
      <c r="P256" s="13">
        <f>IF(tb_rechnungen[[#This Row],[Re-Datum]]&gt;0,YEAR(tb_rechnungen[[#This Row],[Re-Datum]]),"")</f>
        <v/>
      </c>
      <c r="Q256" s="19">
        <f>IF(tb_rechnungen[[#This Row],[Brutto]]&lt;&gt;0,tb_rechnungen[[#This Row],[Brutto]]-tb_rechnungen[[#This Row],[Netto]],"")</f>
        <v/>
      </c>
      <c r="R256" s="37">
        <f>IF(tb_rechnungen[[#This Row],[Netto]]&lt;&gt;0,ROUND(tb_rechnungen[[#This Row],[Steuer]]/tb_rechnungen[[#This Row],[Netto]],2),"")</f>
        <v/>
      </c>
    </row>
    <row r="257" hidden="1">
      <c r="A257" s="26" t="n">
        <v>45930</v>
      </c>
      <c r="B257" s="27" t="inlineStr">
        <is>
          <t>DTS NFON</t>
        </is>
      </c>
      <c r="C257" s="28" t="inlineStr">
        <is>
          <t>25-13-103656</t>
        </is>
      </c>
      <c r="D257" s="28" t="inlineStr">
        <is>
          <t>K</t>
        </is>
      </c>
      <c r="E257" s="27" t="inlineStr">
        <is>
          <t>September</t>
        </is>
      </c>
      <c r="F257" s="29" t="n">
        <v>20.32</v>
      </c>
      <c r="G257" s="29" t="n">
        <v>24.18</v>
      </c>
      <c r="H257" s="30" t="inlineStr">
        <is>
          <t>X</t>
        </is>
      </c>
      <c r="I257" s="30" t="inlineStr">
        <is>
          <t>A</t>
        </is>
      </c>
      <c r="J257" s="31" t="inlineStr">
        <is>
          <t>M</t>
        </is>
      </c>
      <c r="K257" s="50" t="n"/>
      <c r="L257" s="50" t="n"/>
      <c r="M257" s="67" t="n"/>
      <c r="N257" s="30" t="n"/>
      <c r="O257" s="12">
        <f>IF(tb_rechnungen[[#This Row],[Re-Datum]]&gt;0,MONTH(tb_rechnungen[[#This Row],[Re-Datum]]),"")</f>
        <v/>
      </c>
      <c r="P257" s="13">
        <f>IF(tb_rechnungen[[#This Row],[Re-Datum]]&gt;0,YEAR(tb_rechnungen[[#This Row],[Re-Datum]]),"")</f>
        <v/>
      </c>
      <c r="Q257" s="19">
        <f>IF(tb_rechnungen[[#This Row],[Brutto]]&lt;&gt;0,tb_rechnungen[[#This Row],[Brutto]]-tb_rechnungen[[#This Row],[Netto]],"")</f>
        <v/>
      </c>
      <c r="R257" s="37">
        <f>IF(tb_rechnungen[[#This Row],[Netto]]&lt;&gt;0,ROUND(tb_rechnungen[[#This Row],[Steuer]]/tb_rechnungen[[#This Row],[Netto]],2),"")</f>
        <v/>
      </c>
    </row>
    <row r="258" hidden="1">
      <c r="A258" s="26" t="n">
        <v>45930</v>
      </c>
      <c r="B258" s="27" t="inlineStr">
        <is>
          <t>DTS NFON</t>
        </is>
      </c>
      <c r="C258" s="28" t="inlineStr">
        <is>
          <t>R11625202</t>
        </is>
      </c>
      <c r="D258" s="28" t="inlineStr">
        <is>
          <t>K</t>
        </is>
      </c>
      <c r="E258" s="27" t="inlineStr">
        <is>
          <t>April - September Nachberechnung</t>
        </is>
      </c>
      <c r="F258" s="29" t="n">
        <v>3.37</v>
      </c>
      <c r="G258" s="29" t="n">
        <v>4.01</v>
      </c>
      <c r="H258" s="30" t="inlineStr">
        <is>
          <t>X</t>
        </is>
      </c>
      <c r="I258" s="30" t="inlineStr">
        <is>
          <t>A</t>
        </is>
      </c>
      <c r="J258" s="30" t="inlineStr">
        <is>
          <t>M</t>
        </is>
      </c>
      <c r="K258" s="50" t="n"/>
      <c r="L258" s="50" t="n"/>
      <c r="M258" s="67" t="n"/>
      <c r="N258" s="30" t="n"/>
      <c r="O258" s="12">
        <f>IF(tb_rechnungen[[#This Row],[Re-Datum]]&gt;0,MONTH(tb_rechnungen[[#This Row],[Re-Datum]]),"")</f>
        <v/>
      </c>
      <c r="P258" s="13">
        <f>IF(tb_rechnungen[[#This Row],[Re-Datum]]&gt;0,YEAR(tb_rechnungen[[#This Row],[Re-Datum]]),"")</f>
        <v/>
      </c>
      <c r="Q258" s="19">
        <f>IF(tb_rechnungen[[#This Row],[Brutto]]&lt;&gt;0,tb_rechnungen[[#This Row],[Brutto]]-tb_rechnungen[[#This Row],[Netto]],"")</f>
        <v/>
      </c>
      <c r="R258" s="37">
        <f>IF(tb_rechnungen[[#This Row],[Netto]]&lt;&gt;0,ROUND(tb_rechnungen[[#This Row],[Steuer]]/tb_rechnungen[[#This Row],[Netto]],2),"")</f>
        <v/>
      </c>
    </row>
    <row r="259" hidden="1">
      <c r="A259" s="26" t="n">
        <v>45930</v>
      </c>
      <c r="B259" s="27" t="inlineStr">
        <is>
          <t>DKV</t>
        </is>
      </c>
      <c r="C259" s="28" t="inlineStr">
        <is>
          <t>25/646683247/001</t>
        </is>
      </c>
      <c r="D259" s="28" t="inlineStr">
        <is>
          <t>K</t>
        </is>
      </c>
      <c r="E259" s="54" t="inlineStr">
        <is>
          <t>September</t>
        </is>
      </c>
      <c r="F259" s="29" t="n">
        <v>143.29</v>
      </c>
      <c r="G259" s="29" t="n">
        <v>170.52</v>
      </c>
      <c r="H259" s="30" t="inlineStr">
        <is>
          <t>X</t>
        </is>
      </c>
      <c r="I259" s="30" t="inlineStr">
        <is>
          <t>A</t>
        </is>
      </c>
      <c r="J259" s="30" t="inlineStr">
        <is>
          <t>M</t>
        </is>
      </c>
      <c r="K259" s="50" t="n"/>
      <c r="L259" s="50" t="n"/>
      <c r="M259" s="67" t="n"/>
      <c r="N259" s="30" t="n"/>
      <c r="O259" s="12">
        <f>IF(tb_rechnungen[[#This Row],[Re-Datum]]&gt;0,MONTH(tb_rechnungen[[#This Row],[Re-Datum]]),"")</f>
        <v/>
      </c>
      <c r="P259" s="13">
        <f>IF(tb_rechnungen[[#This Row],[Re-Datum]]&gt;0,YEAR(tb_rechnungen[[#This Row],[Re-Datum]]),"")</f>
        <v/>
      </c>
      <c r="Q259" s="19">
        <f>IF(tb_rechnungen[[#This Row],[Brutto]]&lt;&gt;0,tb_rechnungen[[#This Row],[Brutto]]-tb_rechnungen[[#This Row],[Netto]],"")</f>
        <v/>
      </c>
      <c r="R259" s="37">
        <f>IF(tb_rechnungen[[#This Row],[Netto]]&lt;&gt;0,ROUND(tb_rechnungen[[#This Row],[Steuer]]/tb_rechnungen[[#This Row],[Netto]],2),"")</f>
        <v/>
      </c>
    </row>
    <row r="260" hidden="1">
      <c r="A260" s="26" t="n">
        <v>45931</v>
      </c>
      <c r="B260" s="27" t="inlineStr">
        <is>
          <t>VW Leasing</t>
        </is>
      </c>
      <c r="C260" s="28" t="inlineStr">
        <is>
          <t>R10253654855</t>
        </is>
      </c>
      <c r="D260" s="28" t="inlineStr">
        <is>
          <t>K</t>
        </is>
      </c>
      <c r="E260" s="27" t="inlineStr">
        <is>
          <t>Oktober</t>
        </is>
      </c>
      <c r="F260" s="29" t="n">
        <v>37.43</v>
      </c>
      <c r="G260" s="29" t="n">
        <v>44.54</v>
      </c>
      <c r="H260" s="30" t="inlineStr">
        <is>
          <t>X</t>
        </is>
      </c>
      <c r="I260" s="30" t="inlineStr">
        <is>
          <t>A</t>
        </is>
      </c>
      <c r="J260" s="31" t="inlineStr">
        <is>
          <t>M</t>
        </is>
      </c>
      <c r="K260" s="50" t="n"/>
      <c r="L260" s="50" t="n"/>
      <c r="M260" s="67" t="n"/>
      <c r="N260" s="30" t="n"/>
      <c r="O260" s="12">
        <f>IF(tb_rechnungen[[#This Row],[Re-Datum]]&gt;0,MONTH(tb_rechnungen[[#This Row],[Re-Datum]]),"")</f>
        <v/>
      </c>
      <c r="P260" s="13">
        <f>IF(tb_rechnungen[[#This Row],[Re-Datum]]&gt;0,YEAR(tb_rechnungen[[#This Row],[Re-Datum]]),"")</f>
        <v/>
      </c>
      <c r="Q260" s="19">
        <f>IF(tb_rechnungen[[#This Row],[Brutto]]&lt;&gt;0,tb_rechnungen[[#This Row],[Brutto]]-tb_rechnungen[[#This Row],[Netto]],"")</f>
        <v/>
      </c>
      <c r="R260" s="37">
        <f>IF(tb_rechnungen[[#This Row],[Netto]]&lt;&gt;0,ROUND(tb_rechnungen[[#This Row],[Steuer]]/tb_rechnungen[[#This Row],[Netto]],2),"")</f>
        <v/>
      </c>
    </row>
    <row r="261" hidden="1">
      <c r="A261" s="26" t="n">
        <v>45932</v>
      </c>
      <c r="B261" s="27" t="inlineStr">
        <is>
          <t>Infinigate</t>
        </is>
      </c>
      <c r="C261" s="28" t="inlineStr">
        <is>
          <t>PSI-23363507</t>
        </is>
      </c>
      <c r="D261" s="28" t="inlineStr">
        <is>
          <t>E</t>
        </is>
      </c>
      <c r="E261" s="27" t="inlineStr">
        <is>
          <t>WahtchGuard Support M370 1 Jahr GML</t>
        </is>
      </c>
      <c r="F261" s="29" t="n">
        <v>2222.53</v>
      </c>
      <c r="G261" s="29" t="n">
        <v>2644.81</v>
      </c>
      <c r="H261" s="30" t="inlineStr">
        <is>
          <t>X</t>
        </is>
      </c>
      <c r="I261" s="30" t="inlineStr">
        <is>
          <t>Z</t>
        </is>
      </c>
      <c r="J261" s="31" t="inlineStr">
        <is>
          <t>M</t>
        </is>
      </c>
      <c r="K261" s="50" t="n"/>
      <c r="L261" s="50" t="n"/>
      <c r="M261" s="67" t="n"/>
      <c r="N261" s="30" t="n"/>
      <c r="O261" s="12">
        <f>IF(tb_rechnungen[[#This Row],[Re-Datum]]&gt;0,MONTH(tb_rechnungen[[#This Row],[Re-Datum]]),"")</f>
        <v/>
      </c>
      <c r="P261" s="13">
        <f>IF(tb_rechnungen[[#This Row],[Re-Datum]]&gt;0,YEAR(tb_rechnungen[[#This Row],[Re-Datum]]),"")</f>
        <v/>
      </c>
      <c r="Q261" s="19">
        <f>IF(tb_rechnungen[[#This Row],[Brutto]]&lt;&gt;0,tb_rechnungen[[#This Row],[Brutto]]-tb_rechnungen[[#This Row],[Netto]],"")</f>
        <v/>
      </c>
      <c r="R261" s="37">
        <f>IF(tb_rechnungen[[#This Row],[Netto]]&lt;&gt;0,ROUND(tb_rechnungen[[#This Row],[Steuer]]/tb_rechnungen[[#This Row],[Netto]],2),"")</f>
        <v/>
      </c>
    </row>
    <row r="262" hidden="1">
      <c r="A262" s="26" t="n">
        <v>45932</v>
      </c>
      <c r="B262" s="27" t="inlineStr">
        <is>
          <t>Haus&amp;Grund</t>
        </is>
      </c>
      <c r="C262" s="28" t="inlineStr">
        <is>
          <t>Miete 10/2025</t>
        </is>
      </c>
      <c r="D262" s="28" t="inlineStr">
        <is>
          <t>K</t>
        </is>
      </c>
      <c r="E262" s="27" t="inlineStr">
        <is>
          <t>Miete</t>
        </is>
      </c>
      <c r="F262" s="29" t="n">
        <v>225</v>
      </c>
      <c r="G262" s="29" t="n">
        <v>225</v>
      </c>
      <c r="H262" s="30" t="inlineStr">
        <is>
          <t>X</t>
        </is>
      </c>
      <c r="I262" s="30" t="inlineStr">
        <is>
          <t>D</t>
        </is>
      </c>
      <c r="J262" s="30" t="inlineStr">
        <is>
          <t>M</t>
        </is>
      </c>
      <c r="K262" s="50" t="n"/>
      <c r="L262" s="50" t="n"/>
      <c r="M262" s="67" t="n"/>
      <c r="N262" s="30" t="n"/>
      <c r="O262" s="12">
        <f>IF(tb_rechnungen[[#This Row],[Re-Datum]]&gt;0,MONTH(tb_rechnungen[[#This Row],[Re-Datum]]),"")</f>
        <v/>
      </c>
      <c r="P262" s="13">
        <f>IF(tb_rechnungen[[#This Row],[Re-Datum]]&gt;0,YEAR(tb_rechnungen[[#This Row],[Re-Datum]]),"")</f>
        <v/>
      </c>
      <c r="Q262" s="19">
        <f>IF(tb_rechnungen[[#This Row],[Brutto]]&lt;&gt;0,tb_rechnungen[[#This Row],[Brutto]]-tb_rechnungen[[#This Row],[Netto]],"")</f>
        <v/>
      </c>
      <c r="R262" s="37">
        <f>IF(tb_rechnungen[[#This Row],[Netto]]&lt;&gt;0,ROUND(tb_rechnungen[[#This Row],[Steuer]]/tb_rechnungen[[#This Row],[Netto]],2),"")</f>
        <v/>
      </c>
    </row>
    <row r="263" hidden="1">
      <c r="A263" s="26" t="n">
        <v>45935</v>
      </c>
      <c r="B263" s="27" t="inlineStr">
        <is>
          <t>OpenAI</t>
        </is>
      </c>
      <c r="C263" s="28" t="inlineStr">
        <is>
          <t>7J06MMBJ-0006</t>
        </is>
      </c>
      <c r="D263" s="28" t="inlineStr">
        <is>
          <t>K</t>
        </is>
      </c>
      <c r="E263" s="27" t="inlineStr">
        <is>
          <t>Oktober</t>
        </is>
      </c>
      <c r="F263" s="29" t="n">
        <v>17.08</v>
      </c>
      <c r="G263" s="29" t="n">
        <v>17.08</v>
      </c>
      <c r="H263" s="30" t="inlineStr">
        <is>
          <t>X</t>
        </is>
      </c>
      <c r="I263" s="30" t="inlineStr">
        <is>
          <t>A</t>
        </is>
      </c>
      <c r="J263" s="31" t="inlineStr">
        <is>
          <t>M</t>
        </is>
      </c>
      <c r="K263" s="50" t="n"/>
      <c r="L263" s="50" t="n"/>
      <c r="M263" s="67" t="n"/>
      <c r="N263" s="30" t="inlineStr">
        <is>
          <t>FX</t>
        </is>
      </c>
      <c r="O263" s="12">
        <f>IF(tb_rechnungen[[#This Row],[Re-Datum]]&gt;0,MONTH(tb_rechnungen[[#This Row],[Re-Datum]]),"")</f>
        <v/>
      </c>
      <c r="P263" s="13">
        <f>IF(tb_rechnungen[[#This Row],[Re-Datum]]&gt;0,YEAR(tb_rechnungen[[#This Row],[Re-Datum]]),"")</f>
        <v/>
      </c>
      <c r="Q263" s="19">
        <f>IF(tb_rechnungen[[#This Row],[Brutto]]&lt;&gt;0,tb_rechnungen[[#This Row],[Brutto]]-tb_rechnungen[[#This Row],[Netto]],"")</f>
        <v/>
      </c>
      <c r="R263" s="37">
        <f>IF(tb_rechnungen[[#This Row],[Netto]]&lt;&gt;0,ROUND(tb_rechnungen[[#This Row],[Steuer]]/tb_rechnungen[[#This Row],[Netto]],2),"")</f>
        <v/>
      </c>
    </row>
    <row r="264" hidden="1">
      <c r="A264" s="26" t="n">
        <v>45937</v>
      </c>
      <c r="B264" s="27" t="inlineStr">
        <is>
          <t>Sage</t>
        </is>
      </c>
      <c r="C264" s="28" t="inlineStr">
        <is>
          <t>2026-1003608</t>
        </is>
      </c>
      <c r="D264" s="28" t="inlineStr">
        <is>
          <t>K</t>
        </is>
      </c>
      <c r="E264" s="27" t="inlineStr">
        <is>
          <t>September</t>
        </is>
      </c>
      <c r="F264" s="29" t="n">
        <v>15.5</v>
      </c>
      <c r="G264" s="29" t="n">
        <v>18.45</v>
      </c>
      <c r="H264" s="30" t="inlineStr">
        <is>
          <t>X</t>
        </is>
      </c>
      <c r="I264" s="30" t="inlineStr">
        <is>
          <t>A</t>
        </is>
      </c>
      <c r="J264" s="31" t="inlineStr">
        <is>
          <t>M</t>
        </is>
      </c>
      <c r="K264" s="50" t="n"/>
      <c r="L264" s="50" t="n"/>
      <c r="M264" s="67" t="n"/>
      <c r="N264" s="30" t="n"/>
      <c r="O264" s="12">
        <f>IF(tb_rechnungen[[#This Row],[Re-Datum]]&gt;0,MONTH(tb_rechnungen[[#This Row],[Re-Datum]]),"")</f>
        <v/>
      </c>
      <c r="P264" s="13">
        <f>IF(tb_rechnungen[[#This Row],[Re-Datum]]&gt;0,YEAR(tb_rechnungen[[#This Row],[Re-Datum]]),"")</f>
        <v/>
      </c>
      <c r="Q264" s="19">
        <f>IF(tb_rechnungen[[#This Row],[Brutto]]&lt;&gt;0,tb_rechnungen[[#This Row],[Brutto]]-tb_rechnungen[[#This Row],[Netto]],"")</f>
        <v/>
      </c>
      <c r="R264" s="37">
        <f>IF(tb_rechnungen[[#This Row],[Netto]]&lt;&gt;0,ROUND(tb_rechnungen[[#This Row],[Steuer]]/tb_rechnungen[[#This Row],[Netto]],2),"")</f>
        <v/>
      </c>
    </row>
    <row r="265" hidden="1">
      <c r="A265" s="26" t="n">
        <v>45940</v>
      </c>
      <c r="B265" s="27" t="inlineStr">
        <is>
          <t>Hetzner</t>
        </is>
      </c>
      <c r="C265" s="28" t="inlineStr">
        <is>
          <t>R080000517904</t>
        </is>
      </c>
      <c r="D265" s="28" t="inlineStr">
        <is>
          <t>E</t>
        </is>
      </c>
      <c r="E265" s="27" t="inlineStr">
        <is>
          <t>August/September</t>
        </is>
      </c>
      <c r="F265" s="29" t="n">
        <v>6.38</v>
      </c>
      <c r="G265" s="29" t="n">
        <v>7.6</v>
      </c>
      <c r="H265" s="30" t="inlineStr">
        <is>
          <t>X</t>
        </is>
      </c>
      <c r="I265" s="30" t="inlineStr">
        <is>
          <t>A</t>
        </is>
      </c>
      <c r="J265" s="31" t="inlineStr">
        <is>
          <t>M</t>
        </is>
      </c>
      <c r="K265" s="50" t="n"/>
      <c r="L265" s="50" t="n"/>
      <c r="M265" s="67" t="n"/>
      <c r="N265" s="30" t="n"/>
      <c r="O265" s="12">
        <f>IF(tb_rechnungen[[#This Row],[Re-Datum]]&gt;0,MONTH(tb_rechnungen[[#This Row],[Re-Datum]]),"")</f>
        <v/>
      </c>
      <c r="P265" s="13">
        <f>IF(tb_rechnungen[[#This Row],[Re-Datum]]&gt;0,YEAR(tb_rechnungen[[#This Row],[Re-Datum]]),"")</f>
        <v/>
      </c>
      <c r="Q265" s="19">
        <f>IF(tb_rechnungen[[#This Row],[Brutto]]&lt;&gt;0,tb_rechnungen[[#This Row],[Brutto]]-tb_rechnungen[[#This Row],[Netto]],"")</f>
        <v/>
      </c>
      <c r="R265" s="37">
        <f>IF(tb_rechnungen[[#This Row],[Netto]]&lt;&gt;0,ROUND(tb_rechnungen[[#This Row],[Steuer]]/tb_rechnungen[[#This Row],[Netto]],2),"")</f>
        <v/>
      </c>
    </row>
    <row r="266" hidden="1">
      <c r="A266" s="26" t="n">
        <v>45940</v>
      </c>
      <c r="B266" s="27" t="inlineStr">
        <is>
          <t>Ratiokontakt</t>
        </is>
      </c>
      <c r="C266" s="28" t="inlineStr">
        <is>
          <t>R10888274</t>
        </is>
      </c>
      <c r="D266" s="28" t="inlineStr">
        <is>
          <t>E</t>
        </is>
      </c>
      <c r="E266" s="27" t="inlineStr">
        <is>
          <t>bis 12.10.2026</t>
        </is>
      </c>
      <c r="F266" s="29" t="n">
        <v>171.5</v>
      </c>
      <c r="G266" s="29" t="n">
        <v>204.09</v>
      </c>
      <c r="H266" s="30" t="inlineStr">
        <is>
          <t>X</t>
        </is>
      </c>
      <c r="I266" s="30" t="inlineStr">
        <is>
          <t>A</t>
        </is>
      </c>
      <c r="J266" s="31" t="inlineStr">
        <is>
          <t>M</t>
        </is>
      </c>
      <c r="K266" s="50" t="n"/>
      <c r="L266" s="50" t="n"/>
      <c r="M266" s="67" t="n"/>
      <c r="N266" s="30" t="n"/>
      <c r="O266" s="12">
        <f>IF(tb_rechnungen[[#This Row],[Re-Datum]]&gt;0,MONTH(tb_rechnungen[[#This Row],[Re-Datum]]),"")</f>
        <v/>
      </c>
      <c r="P266" s="13">
        <f>IF(tb_rechnungen[[#This Row],[Re-Datum]]&gt;0,YEAR(tb_rechnungen[[#This Row],[Re-Datum]]),"")</f>
        <v/>
      </c>
      <c r="Q266" s="19">
        <f>IF(tb_rechnungen[[#This Row],[Brutto]]&lt;&gt;0,tb_rechnungen[[#This Row],[Brutto]]-tb_rechnungen[[#This Row],[Netto]],"")</f>
        <v/>
      </c>
      <c r="R266" s="37">
        <f>IF(tb_rechnungen[[#This Row],[Netto]]&lt;&gt;0,ROUND(tb_rechnungen[[#This Row],[Steuer]]/tb_rechnungen[[#This Row],[Netto]],2),"")</f>
        <v/>
      </c>
    </row>
    <row r="267" hidden="1">
      <c r="A267" s="26" t="n">
        <v>45941</v>
      </c>
      <c r="B267" s="27" t="inlineStr">
        <is>
          <t>Wortmann</t>
        </is>
      </c>
      <c r="C267" s="28" t="inlineStr">
        <is>
          <t>DR8932071</t>
        </is>
      </c>
      <c r="D267" s="28" t="inlineStr">
        <is>
          <t>E</t>
        </is>
      </c>
      <c r="E267" s="27" t="inlineStr">
        <is>
          <t>Office Cloud-Backup VEH September</t>
        </is>
      </c>
      <c r="F267" s="29" t="n">
        <v>14.9</v>
      </c>
      <c r="G267" s="29" t="n">
        <v>17.73</v>
      </c>
      <c r="H267" s="30" t="inlineStr">
        <is>
          <t>X</t>
        </is>
      </c>
      <c r="I267" s="30" t="inlineStr">
        <is>
          <t>Z</t>
        </is>
      </c>
      <c r="J267" s="31" t="inlineStr">
        <is>
          <t>M</t>
        </is>
      </c>
      <c r="K267" s="50" t="n"/>
      <c r="L267" s="50" t="n"/>
      <c r="M267" s="67" t="n"/>
      <c r="N267" s="30" t="n"/>
      <c r="O267" s="12">
        <f>IF(tb_rechnungen[[#This Row],[Re-Datum]]&gt;0,MONTH(tb_rechnungen[[#This Row],[Re-Datum]]),"")</f>
        <v/>
      </c>
      <c r="P267" s="13">
        <f>IF(tb_rechnungen[[#This Row],[Re-Datum]]&gt;0,YEAR(tb_rechnungen[[#This Row],[Re-Datum]]),"")</f>
        <v/>
      </c>
      <c r="Q267" s="19">
        <f>IF(tb_rechnungen[[#This Row],[Brutto]]&lt;&gt;0,tb_rechnungen[[#This Row],[Brutto]]-tb_rechnungen[[#This Row],[Netto]],"")</f>
        <v/>
      </c>
      <c r="R267" s="37">
        <f>IF(tb_rechnungen[[#This Row],[Netto]]&lt;&gt;0,ROUND(tb_rechnungen[[#This Row],[Steuer]]/tb_rechnungen[[#This Row],[Netto]],2),"")</f>
        <v/>
      </c>
    </row>
    <row r="268" hidden="1">
      <c r="A268" s="26" t="n">
        <v>45943</v>
      </c>
      <c r="B268" s="27" t="inlineStr">
        <is>
          <t>Telekom</t>
        </is>
      </c>
      <c r="C268" s="28" t="inlineStr">
        <is>
          <t>R35156919000551</t>
        </is>
      </c>
      <c r="D268" s="28" t="inlineStr">
        <is>
          <t>K</t>
        </is>
      </c>
      <c r="E268" s="27" t="inlineStr">
        <is>
          <t>Schulze September mobil</t>
        </is>
      </c>
      <c r="F268" s="29" t="n">
        <v>12.75</v>
      </c>
      <c r="G268" s="29" t="n">
        <v>15.17</v>
      </c>
      <c r="H268" s="30" t="inlineStr">
        <is>
          <t>X</t>
        </is>
      </c>
      <c r="I268" s="30" t="inlineStr">
        <is>
          <t>A</t>
        </is>
      </c>
      <c r="J268" s="31" t="inlineStr">
        <is>
          <t>M</t>
        </is>
      </c>
      <c r="K268" s="50" t="n"/>
      <c r="L268" s="50" t="n"/>
      <c r="M268" s="67" t="n"/>
      <c r="N268" s="30" t="n"/>
      <c r="O268" s="12">
        <f>IF(tb_rechnungen[[#This Row],[Re-Datum]]&gt;0,MONTH(tb_rechnungen[[#This Row],[Re-Datum]]),"")</f>
        <v/>
      </c>
      <c r="P268" s="13">
        <f>IF(tb_rechnungen[[#This Row],[Re-Datum]]&gt;0,YEAR(tb_rechnungen[[#This Row],[Re-Datum]]),"")</f>
        <v/>
      </c>
      <c r="Q268" s="19">
        <f>IF(tb_rechnungen[[#This Row],[Brutto]]&lt;&gt;0,tb_rechnungen[[#This Row],[Brutto]]-tb_rechnungen[[#This Row],[Netto]],"")</f>
        <v/>
      </c>
      <c r="R268" s="37">
        <f>IF(tb_rechnungen[[#This Row],[Netto]]&lt;&gt;0,ROUND(tb_rechnungen[[#This Row],[Steuer]]/tb_rechnungen[[#This Row],[Netto]],2),"")</f>
        <v/>
      </c>
    </row>
    <row r="269" hidden="1">
      <c r="A269" s="26" t="n">
        <v>45943</v>
      </c>
      <c r="B269" s="27" t="inlineStr">
        <is>
          <t>Infinigate</t>
        </is>
      </c>
      <c r="C269" s="28" t="inlineStr">
        <is>
          <t>PSI-23368193</t>
        </is>
      </c>
      <c r="D269" s="28" t="inlineStr">
        <is>
          <t>E</t>
        </is>
      </c>
      <c r="E269" s="27" t="inlineStr">
        <is>
          <t>Watchguard Support 3 Jahre MUT</t>
        </is>
      </c>
      <c r="F269" s="29" t="n">
        <v>2215.97</v>
      </c>
      <c r="G269" s="29" t="n">
        <v>2637</v>
      </c>
      <c r="H269" s="30" t="inlineStr">
        <is>
          <t>X</t>
        </is>
      </c>
      <c r="I269" s="30" t="inlineStr">
        <is>
          <t>Z</t>
        </is>
      </c>
      <c r="J269" s="31" t="inlineStr">
        <is>
          <t>M</t>
        </is>
      </c>
      <c r="K269" s="50" t="n"/>
      <c r="L269" s="50" t="n"/>
      <c r="M269" s="67" t="n"/>
      <c r="N269" s="30" t="n"/>
      <c r="O269" s="12">
        <f>IF(tb_rechnungen[[#This Row],[Re-Datum]]&gt;0,MONTH(tb_rechnungen[[#This Row],[Re-Datum]]),"")</f>
        <v/>
      </c>
      <c r="P269" s="13">
        <f>IF(tb_rechnungen[[#This Row],[Re-Datum]]&gt;0,YEAR(tb_rechnungen[[#This Row],[Re-Datum]]),"")</f>
        <v/>
      </c>
      <c r="Q269" s="19">
        <f>IF(tb_rechnungen[[#This Row],[Brutto]]&lt;&gt;0,tb_rechnungen[[#This Row],[Brutto]]-tb_rechnungen[[#This Row],[Netto]],"")</f>
        <v/>
      </c>
      <c r="R269" s="37">
        <f>IF(tb_rechnungen[[#This Row],[Netto]]&lt;&gt;0,ROUND(tb_rechnungen[[#This Row],[Steuer]]/tb_rechnungen[[#This Row],[Netto]],2),"")</f>
        <v/>
      </c>
    </row>
    <row r="270" hidden="1">
      <c r="A270" s="26" t="n">
        <v>45944</v>
      </c>
      <c r="B270" s="27" t="inlineStr">
        <is>
          <t>PSW Group</t>
        </is>
      </c>
      <c r="C270" s="28" t="inlineStr">
        <is>
          <t>RG12532153</t>
        </is>
      </c>
      <c r="D270" s="28" t="inlineStr">
        <is>
          <t>E</t>
        </is>
      </c>
      <c r="E270" s="27" t="inlineStr">
        <is>
          <t>SSL-Zertifikate owa.gzi-ev.de +3 Weitere</t>
        </is>
      </c>
      <c r="F270" s="29" t="n">
        <v>57.48</v>
      </c>
      <c r="G270" s="29" t="n">
        <v>68.5</v>
      </c>
      <c r="H270" s="30" t="inlineStr">
        <is>
          <t>X</t>
        </is>
      </c>
      <c r="I270" s="30" t="inlineStr">
        <is>
          <t>A</t>
        </is>
      </c>
      <c r="J270" s="31" t="inlineStr">
        <is>
          <t>M</t>
        </is>
      </c>
      <c r="K270" s="50" t="n"/>
      <c r="L270" s="50" t="n"/>
      <c r="M270" s="67" t="n"/>
      <c r="N270" s="30" t="n"/>
      <c r="O270" s="12">
        <f>IF(tb_rechnungen[[#This Row],[Re-Datum]]&gt;0,MONTH(tb_rechnungen[[#This Row],[Re-Datum]]),"")</f>
        <v/>
      </c>
      <c r="P270" s="13">
        <f>IF(tb_rechnungen[[#This Row],[Re-Datum]]&gt;0,YEAR(tb_rechnungen[[#This Row],[Re-Datum]]),"")</f>
        <v/>
      </c>
      <c r="Q270" s="19">
        <f>IF(tb_rechnungen[[#This Row],[Brutto]]&lt;&gt;0,tb_rechnungen[[#This Row],[Brutto]]-tb_rechnungen[[#This Row],[Netto]],"")</f>
        <v/>
      </c>
      <c r="R270" s="37">
        <f>IF(tb_rechnungen[[#This Row],[Netto]]&lt;&gt;0,ROUND(tb_rechnungen[[#This Row],[Steuer]]/tb_rechnungen[[#This Row],[Netto]],2),"")</f>
        <v/>
      </c>
    </row>
    <row r="271" hidden="1">
      <c r="A271" s="26" t="n">
        <v>45944</v>
      </c>
      <c r="B271" s="27" t="inlineStr">
        <is>
          <t>Infinigate</t>
        </is>
      </c>
      <c r="C271" s="28" t="inlineStr">
        <is>
          <t>PSI-23368916</t>
        </is>
      </c>
      <c r="D271" s="28" t="inlineStr">
        <is>
          <t>E</t>
        </is>
      </c>
      <c r="E271" s="27" t="inlineStr">
        <is>
          <t>Watchguard Support 3 Jahre GZI</t>
        </is>
      </c>
      <c r="F271" s="29" t="n">
        <v>1184.9</v>
      </c>
      <c r="G271" s="29" t="n">
        <v>1410.03</v>
      </c>
      <c r="H271" s="30" t="inlineStr">
        <is>
          <t>X</t>
        </is>
      </c>
      <c r="I271" s="30" t="inlineStr">
        <is>
          <t>Z</t>
        </is>
      </c>
      <c r="J271" s="31" t="inlineStr">
        <is>
          <t>M</t>
        </is>
      </c>
      <c r="K271" s="50" t="n"/>
      <c r="L271" s="50" t="n"/>
      <c r="M271" s="67" t="n"/>
      <c r="N271" s="30" t="n"/>
      <c r="O271" s="12">
        <f>IF(tb_rechnungen[[#This Row],[Re-Datum]]&gt;0,MONTH(tb_rechnungen[[#This Row],[Re-Datum]]),"")</f>
        <v/>
      </c>
      <c r="P271" s="13">
        <f>IF(tb_rechnungen[[#This Row],[Re-Datum]]&gt;0,YEAR(tb_rechnungen[[#This Row],[Re-Datum]]),"")</f>
        <v/>
      </c>
      <c r="Q271" s="19">
        <f>IF(tb_rechnungen[[#This Row],[Brutto]]&lt;&gt;0,tb_rechnungen[[#This Row],[Brutto]]-tb_rechnungen[[#This Row],[Netto]],"")</f>
        <v/>
      </c>
      <c r="R271" s="37">
        <f>IF(tb_rechnungen[[#This Row],[Netto]]&lt;&gt;0,ROUND(tb_rechnungen[[#This Row],[Steuer]]/tb_rechnungen[[#This Row],[Netto]],2),"")</f>
        <v/>
      </c>
    </row>
    <row r="272" hidden="1">
      <c r="A272" s="26" t="n">
        <v>45945</v>
      </c>
      <c r="B272" s="27" t="inlineStr">
        <is>
          <t>API</t>
        </is>
      </c>
      <c r="C272" s="28" t="inlineStr">
        <is>
          <t>R14415982</t>
        </is>
      </c>
      <c r="D272" s="28" t="inlineStr">
        <is>
          <t>E</t>
        </is>
      </c>
      <c r="E272" s="27" t="inlineStr">
        <is>
          <t>2 mobile Festplatten WD 8TB für wfb</t>
        </is>
      </c>
      <c r="F272" s="29" t="n">
        <v>304.51</v>
      </c>
      <c r="G272" s="29" t="n">
        <v>362.37</v>
      </c>
      <c r="H272" s="30" t="inlineStr">
        <is>
          <t>X</t>
        </is>
      </c>
      <c r="I272" s="30" t="inlineStr">
        <is>
          <t>Z</t>
        </is>
      </c>
      <c r="J272" s="31" t="inlineStr">
        <is>
          <t>M</t>
        </is>
      </c>
      <c r="K272" s="50" t="n"/>
      <c r="L272" s="50" t="n"/>
      <c r="M272" s="67" t="n"/>
      <c r="N272" s="30" t="n"/>
      <c r="O272" s="12">
        <f>IF(tb_rechnungen[[#This Row],[Re-Datum]]&gt;0,MONTH(tb_rechnungen[[#This Row],[Re-Datum]]),"")</f>
        <v/>
      </c>
      <c r="P272" s="13">
        <f>IF(tb_rechnungen[[#This Row],[Re-Datum]]&gt;0,YEAR(tb_rechnungen[[#This Row],[Re-Datum]]),"")</f>
        <v/>
      </c>
      <c r="Q272" s="19">
        <f>IF(tb_rechnungen[[#This Row],[Brutto]]&lt;&gt;0,tb_rechnungen[[#This Row],[Brutto]]-tb_rechnungen[[#This Row],[Netto]],"")</f>
        <v/>
      </c>
      <c r="R272" s="37">
        <f>IF(tb_rechnungen[[#This Row],[Netto]]&lt;&gt;0,ROUND(tb_rechnungen[[#This Row],[Steuer]]/tb_rechnungen[[#This Row],[Netto]],2),"")</f>
        <v/>
      </c>
    </row>
    <row r="273" hidden="1">
      <c r="A273" s="26" t="n">
        <v>45945</v>
      </c>
      <c r="B273" s="27" t="inlineStr">
        <is>
          <t>Blau</t>
        </is>
      </c>
      <c r="C273" s="28" t="inlineStr">
        <is>
          <t>R138156563708</t>
        </is>
      </c>
      <c r="D273" s="28" t="inlineStr">
        <is>
          <t>K</t>
        </is>
      </c>
      <c r="E273" s="27" t="inlineStr">
        <is>
          <t>Oktober Faszl</t>
        </is>
      </c>
      <c r="F273" s="29" t="n">
        <v>6.71</v>
      </c>
      <c r="G273" s="29" t="n">
        <v>7.99</v>
      </c>
      <c r="H273" s="30" t="inlineStr">
        <is>
          <t>X</t>
        </is>
      </c>
      <c r="I273" s="30" t="inlineStr">
        <is>
          <t>A</t>
        </is>
      </c>
      <c r="J273" s="31" t="inlineStr">
        <is>
          <t>M</t>
        </is>
      </c>
      <c r="K273" s="50" t="n"/>
      <c r="L273" s="50" t="n"/>
      <c r="M273" s="67" t="n"/>
      <c r="N273" s="30" t="n"/>
      <c r="O273" s="12">
        <f>IF(tb_rechnungen[[#This Row],[Re-Datum]]&gt;0,MONTH(tb_rechnungen[[#This Row],[Re-Datum]]),"")</f>
        <v/>
      </c>
      <c r="P273" s="13">
        <f>IF(tb_rechnungen[[#This Row],[Re-Datum]]&gt;0,YEAR(tb_rechnungen[[#This Row],[Re-Datum]]),"")</f>
        <v/>
      </c>
      <c r="Q273" s="19">
        <f>IF(tb_rechnungen[[#This Row],[Brutto]]&lt;&gt;0,tb_rechnungen[[#This Row],[Brutto]]-tb_rechnungen[[#This Row],[Netto]],"")</f>
        <v/>
      </c>
      <c r="R273" s="37">
        <f>IF(tb_rechnungen[[#This Row],[Netto]]&lt;&gt;0,ROUND(tb_rechnungen[[#This Row],[Steuer]]/tb_rechnungen[[#This Row],[Netto]],2),"")</f>
        <v/>
      </c>
    </row>
    <row r="274" hidden="1">
      <c r="A274" s="26" t="n">
        <v>45945</v>
      </c>
      <c r="B274" s="27" t="inlineStr">
        <is>
          <t>Westcon</t>
        </is>
      </c>
      <c r="C274" s="28" t="inlineStr">
        <is>
          <t>R1075588400</t>
        </is>
      </c>
      <c r="D274" s="28" t="inlineStr">
        <is>
          <t>E</t>
        </is>
      </c>
      <c r="E274" s="27" t="inlineStr">
        <is>
          <t>Trendmicro HEMS 1 Jahr GML</t>
        </is>
      </c>
      <c r="F274" s="29" t="n">
        <v>1239.64</v>
      </c>
      <c r="G274" s="29" t="n">
        <v>1475.17</v>
      </c>
      <c r="H274" s="30" t="inlineStr">
        <is>
          <t>X</t>
        </is>
      </c>
      <c r="I274" s="30" t="inlineStr">
        <is>
          <t>Z</t>
        </is>
      </c>
      <c r="J274" s="31" t="inlineStr">
        <is>
          <t>M</t>
        </is>
      </c>
      <c r="K274" s="50" t="n"/>
      <c r="L274" s="50" t="n"/>
      <c r="M274" s="67" t="n"/>
      <c r="N274" s="30" t="n"/>
      <c r="O274" s="12">
        <f>IF(tb_rechnungen[[#This Row],[Re-Datum]]&gt;0,MONTH(tb_rechnungen[[#This Row],[Re-Datum]]),"")</f>
        <v/>
      </c>
      <c r="P274" s="13">
        <f>IF(tb_rechnungen[[#This Row],[Re-Datum]]&gt;0,YEAR(tb_rechnungen[[#This Row],[Re-Datum]]),"")</f>
        <v/>
      </c>
      <c r="Q274" s="19">
        <f>IF(tb_rechnungen[[#This Row],[Brutto]]&lt;&gt;0,tb_rechnungen[[#This Row],[Brutto]]-tb_rechnungen[[#This Row],[Netto]],"")</f>
        <v/>
      </c>
      <c r="R274" s="37">
        <f>IF(tb_rechnungen[[#This Row],[Netto]]&lt;&gt;0,ROUND(tb_rechnungen[[#This Row],[Steuer]]/tb_rechnungen[[#This Row],[Netto]],2),"")</f>
        <v/>
      </c>
    </row>
    <row r="275" hidden="1">
      <c r="A275" s="26" t="n">
        <v>45946</v>
      </c>
      <c r="B275" s="27" t="inlineStr">
        <is>
          <t>Telekom</t>
        </is>
      </c>
      <c r="C275" s="26" t="inlineStr">
        <is>
          <t>RG 7870414419</t>
        </is>
      </c>
      <c r="D275" s="28" t="inlineStr">
        <is>
          <t>K</t>
        </is>
      </c>
      <c r="E275" s="27" t="inlineStr">
        <is>
          <t>Oktober Büro LU</t>
        </is>
      </c>
      <c r="F275" s="29" t="n">
        <v>33.67</v>
      </c>
      <c r="G275" s="29" t="n">
        <v>39.95</v>
      </c>
      <c r="H275" s="30" t="inlineStr">
        <is>
          <t>X</t>
        </is>
      </c>
      <c r="I275" s="30" t="inlineStr">
        <is>
          <t>A</t>
        </is>
      </c>
      <c r="J275" s="31" t="inlineStr">
        <is>
          <t>M</t>
        </is>
      </c>
      <c r="K275" s="50" t="n"/>
      <c r="L275" s="50" t="n"/>
      <c r="M275" s="67" t="n"/>
      <c r="N275" s="30" t="n"/>
      <c r="O275" s="12">
        <f>IF(tb_rechnungen[[#This Row],[Re-Datum]]&gt;0,MONTH(tb_rechnungen[[#This Row],[Re-Datum]]),"")</f>
        <v/>
      </c>
      <c r="P275" s="13">
        <f>IF(tb_rechnungen[[#This Row],[Re-Datum]]&gt;0,YEAR(tb_rechnungen[[#This Row],[Re-Datum]]),"")</f>
        <v/>
      </c>
      <c r="Q275" s="19">
        <f>IF(tb_rechnungen[[#This Row],[Brutto]]&lt;&gt;0,tb_rechnungen[[#This Row],[Brutto]]-tb_rechnungen[[#This Row],[Netto]],"")</f>
        <v/>
      </c>
      <c r="R275" s="37">
        <f>IF(tb_rechnungen[[#This Row],[Netto]]&lt;&gt;0,ROUND(tb_rechnungen[[#This Row],[Steuer]]/tb_rechnungen[[#This Row],[Netto]],2),"")</f>
        <v/>
      </c>
    </row>
    <row r="276" hidden="1">
      <c r="A276" s="26" t="n">
        <v>45948</v>
      </c>
      <c r="B276" s="27" t="inlineStr">
        <is>
          <t>Wolkesicher</t>
        </is>
      </c>
      <c r="C276" s="28" t="inlineStr">
        <is>
          <t>R400092</t>
        </is>
      </c>
      <c r="D276" s="28" t="inlineStr">
        <is>
          <t>K</t>
        </is>
      </c>
      <c r="E276" s="27" t="inlineStr">
        <is>
          <t>November</t>
        </is>
      </c>
      <c r="F276" s="29" t="n">
        <v>4.19</v>
      </c>
      <c r="G276" s="29" t="n">
        <v>4.99</v>
      </c>
      <c r="H276" s="30" t="inlineStr">
        <is>
          <t>X</t>
        </is>
      </c>
      <c r="I276" s="30" t="inlineStr">
        <is>
          <t>A</t>
        </is>
      </c>
      <c r="J276" s="31" t="inlineStr">
        <is>
          <t>M</t>
        </is>
      </c>
      <c r="K276" s="50" t="n"/>
      <c r="L276" s="50" t="n"/>
      <c r="M276" s="67" t="n"/>
      <c r="N276" s="30" t="n"/>
      <c r="O276" s="12">
        <f>IF(tb_rechnungen[[#This Row],[Re-Datum]]&gt;0,MONTH(tb_rechnungen[[#This Row],[Re-Datum]]),"")</f>
        <v/>
      </c>
      <c r="P276" s="13">
        <f>IF(tb_rechnungen[[#This Row],[Re-Datum]]&gt;0,YEAR(tb_rechnungen[[#This Row],[Re-Datum]]),"")</f>
        <v/>
      </c>
      <c r="Q276" s="19">
        <f>IF(tb_rechnungen[[#This Row],[Brutto]]&lt;&gt;0,tb_rechnungen[[#This Row],[Brutto]]-tb_rechnungen[[#This Row],[Netto]],"")</f>
        <v/>
      </c>
      <c r="R276" s="37">
        <f>IF(tb_rechnungen[[#This Row],[Netto]]&lt;&gt;0,ROUND(tb_rechnungen[[#This Row],[Steuer]]/tb_rechnungen[[#This Row],[Netto]],2),"")</f>
        <v/>
      </c>
    </row>
    <row r="277" hidden="1">
      <c r="A277" s="26" t="n">
        <v>45944</v>
      </c>
      <c r="B277" s="27" t="inlineStr">
        <is>
          <t>Starbuero</t>
        </is>
      </c>
      <c r="C277" s="28" t="inlineStr">
        <is>
          <t>SB2025-45958</t>
        </is>
      </c>
      <c r="D277" s="28" t="inlineStr">
        <is>
          <t>K</t>
        </is>
      </c>
      <c r="E277" s="27" t="inlineStr">
        <is>
          <t>September</t>
        </is>
      </c>
      <c r="F277" s="29" t="n">
        <v>3.96</v>
      </c>
      <c r="G277" s="29" t="n">
        <v>4.71</v>
      </c>
      <c r="H277" s="30" t="inlineStr">
        <is>
          <t>X</t>
        </is>
      </c>
      <c r="I277" s="30" t="inlineStr">
        <is>
          <t>A</t>
        </is>
      </c>
      <c r="J277" s="31" t="inlineStr">
        <is>
          <t>M</t>
        </is>
      </c>
      <c r="K277" s="50" t="n"/>
      <c r="L277" s="50" t="n"/>
      <c r="M277" s="67" t="n"/>
      <c r="N277" s="30" t="n"/>
      <c r="O277" s="12">
        <f>IF(tb_rechnungen[[#This Row],[Re-Datum]]&gt;0,MONTH(tb_rechnungen[[#This Row],[Re-Datum]]),"")</f>
        <v/>
      </c>
      <c r="P277" s="13">
        <f>IF(tb_rechnungen[[#This Row],[Re-Datum]]&gt;0,YEAR(tb_rechnungen[[#This Row],[Re-Datum]]),"")</f>
        <v/>
      </c>
      <c r="Q277" s="19">
        <f>IF(tb_rechnungen[[#This Row],[Brutto]]&lt;&gt;0,tb_rechnungen[[#This Row],[Brutto]]-tb_rechnungen[[#This Row],[Netto]],"")</f>
        <v/>
      </c>
      <c r="R277" s="37">
        <f>IF(tb_rechnungen[[#This Row],[Netto]]&lt;&gt;0,ROUND(tb_rechnungen[[#This Row],[Steuer]]/tb_rechnungen[[#This Row],[Netto]],2),"")</f>
        <v/>
      </c>
    </row>
    <row r="278" hidden="1">
      <c r="A278" s="26" t="n">
        <v>45951</v>
      </c>
      <c r="B278" s="27" t="inlineStr">
        <is>
          <t>Telekom</t>
        </is>
      </c>
      <c r="C278" s="28" t="inlineStr">
        <is>
          <t>R7873247552</t>
        </is>
      </c>
      <c r="D278" s="28" t="inlineStr">
        <is>
          <t>K</t>
        </is>
      </c>
      <c r="E278" s="27" t="inlineStr">
        <is>
          <t>Oktober Faszl</t>
        </is>
      </c>
      <c r="F278" s="29" t="n">
        <v>37.77</v>
      </c>
      <c r="G278" s="29" t="n">
        <v>44.95</v>
      </c>
      <c r="H278" s="30" t="inlineStr">
        <is>
          <t>X</t>
        </is>
      </c>
      <c r="I278" s="30" t="inlineStr">
        <is>
          <t>A</t>
        </is>
      </c>
      <c r="J278" s="31" t="inlineStr">
        <is>
          <t>M</t>
        </is>
      </c>
      <c r="K278" s="50" t="n"/>
      <c r="L278" s="50" t="n"/>
      <c r="M278" s="67" t="n"/>
      <c r="N278" s="30" t="n"/>
      <c r="O278" s="12">
        <f>IF(tb_rechnungen[[#This Row],[Re-Datum]]&gt;0,MONTH(tb_rechnungen[[#This Row],[Re-Datum]]),"")</f>
        <v/>
      </c>
      <c r="P278" s="13">
        <f>IF(tb_rechnungen[[#This Row],[Re-Datum]]&gt;0,YEAR(tb_rechnungen[[#This Row],[Re-Datum]]),"")</f>
        <v/>
      </c>
      <c r="Q278" s="19">
        <f>IF(tb_rechnungen[[#This Row],[Brutto]]&lt;&gt;0,tb_rechnungen[[#This Row],[Brutto]]-tb_rechnungen[[#This Row],[Netto]],"")</f>
        <v/>
      </c>
      <c r="R278" s="37">
        <f>IF(tb_rechnungen[[#This Row],[Netto]]&lt;&gt;0,ROUND(tb_rechnungen[[#This Row],[Steuer]]/tb_rechnungen[[#This Row],[Netto]],2),"")</f>
        <v/>
      </c>
    </row>
    <row r="279" hidden="1">
      <c r="A279" s="26" t="n">
        <v>45951</v>
      </c>
      <c r="B279" s="27" t="inlineStr">
        <is>
          <t>DKV</t>
        </is>
      </c>
      <c r="C279" s="28" t="inlineStr">
        <is>
          <t>25/647161211/001</t>
        </is>
      </c>
      <c r="D279" s="28" t="inlineStr">
        <is>
          <t>K</t>
        </is>
      </c>
      <c r="E279" s="27" t="inlineStr">
        <is>
          <t xml:space="preserve">Oktober </t>
        </is>
      </c>
      <c r="F279" s="29" t="n">
        <v>71.66</v>
      </c>
      <c r="G279" s="29" t="n">
        <v>85.28</v>
      </c>
      <c r="H279" s="30" t="inlineStr">
        <is>
          <t>X</t>
        </is>
      </c>
      <c r="I279" s="30" t="inlineStr">
        <is>
          <t>A</t>
        </is>
      </c>
      <c r="J279" s="31" t="inlineStr">
        <is>
          <t>M</t>
        </is>
      </c>
      <c r="K279" s="50" t="n"/>
      <c r="L279" s="50" t="n"/>
      <c r="M279" s="67" t="n"/>
      <c r="N279" s="30" t="n"/>
      <c r="O279" s="12">
        <f>IF(tb_rechnungen[[#This Row],[Re-Datum]]&gt;0,MONTH(tb_rechnungen[[#This Row],[Re-Datum]]),"")</f>
        <v/>
      </c>
      <c r="P279" s="13">
        <f>IF(tb_rechnungen[[#This Row],[Re-Datum]]&gt;0,YEAR(tb_rechnungen[[#This Row],[Re-Datum]]),"")</f>
        <v/>
      </c>
      <c r="Q279" s="19">
        <f>IF(tb_rechnungen[[#This Row],[Brutto]]&lt;&gt;0,tb_rechnungen[[#This Row],[Brutto]]-tb_rechnungen[[#This Row],[Netto]],"")</f>
        <v/>
      </c>
      <c r="R279" s="37">
        <f>IF(tb_rechnungen[[#This Row],[Netto]]&lt;&gt;0,ROUND(tb_rechnungen[[#This Row],[Steuer]]/tb_rechnungen[[#This Row],[Netto]],2),"")</f>
        <v/>
      </c>
    </row>
    <row r="280" hidden="1">
      <c r="A280" s="26" t="n">
        <v>45954</v>
      </c>
      <c r="B280" s="27" t="inlineStr">
        <is>
          <t>PSW Group</t>
        </is>
      </c>
      <c r="C280" s="28" t="inlineStr">
        <is>
          <t>RG12533507</t>
        </is>
      </c>
      <c r="D280" s="28" t="inlineStr">
        <is>
          <t>E</t>
        </is>
      </c>
      <c r="E280" s="27" t="inlineStr">
        <is>
          <t>SSL_Zertifikat standesamt@vg-rheinauen.de</t>
        </is>
      </c>
      <c r="F280" s="29" t="n">
        <v>14.37</v>
      </c>
      <c r="G280" s="29" t="n">
        <v>17.1</v>
      </c>
      <c r="H280" s="30" t="inlineStr">
        <is>
          <t>X</t>
        </is>
      </c>
      <c r="I280" s="30" t="inlineStr">
        <is>
          <t>A</t>
        </is>
      </c>
      <c r="J280" s="31" t="inlineStr">
        <is>
          <t>M</t>
        </is>
      </c>
      <c r="K280" s="50" t="n"/>
      <c r="L280" s="50" t="n"/>
      <c r="M280" s="67" t="n"/>
      <c r="N280" s="30" t="n"/>
      <c r="O280" s="12">
        <f>IF(tb_rechnungen[[#This Row],[Re-Datum]]&gt;0,MONTH(tb_rechnungen[[#This Row],[Re-Datum]]),"")</f>
        <v/>
      </c>
      <c r="P280" s="13">
        <f>IF(tb_rechnungen[[#This Row],[Re-Datum]]&gt;0,YEAR(tb_rechnungen[[#This Row],[Re-Datum]]),"")</f>
        <v/>
      </c>
      <c r="Q280" s="19">
        <f>IF(tb_rechnungen[[#This Row],[Brutto]]&lt;&gt;0,tb_rechnungen[[#This Row],[Brutto]]-tb_rechnungen[[#This Row],[Netto]],"")</f>
        <v/>
      </c>
      <c r="R280" s="37">
        <f>IF(tb_rechnungen[[#This Row],[Netto]]&lt;&gt;0,ROUND(tb_rechnungen[[#This Row],[Steuer]]/tb_rechnungen[[#This Row],[Netto]],2),"")</f>
        <v/>
      </c>
    </row>
    <row r="281" hidden="1">
      <c r="A281" s="26" t="n">
        <v>45958</v>
      </c>
      <c r="B281" s="27" t="inlineStr">
        <is>
          <t>Telekom</t>
        </is>
      </c>
      <c r="C281" s="28" t="inlineStr">
        <is>
          <t>RG7877046102</t>
        </is>
      </c>
      <c r="D281" s="28" t="inlineStr">
        <is>
          <t>K</t>
        </is>
      </c>
      <c r="E281" s="27" t="inlineStr">
        <is>
          <t>November LU</t>
        </is>
      </c>
      <c r="F281" s="29" t="n">
        <v>39.9</v>
      </c>
      <c r="G281" s="29" t="n">
        <v>47.48</v>
      </c>
      <c r="H281" s="30" t="inlineStr">
        <is>
          <t>X</t>
        </is>
      </c>
      <c r="I281" s="30" t="inlineStr">
        <is>
          <t>A</t>
        </is>
      </c>
      <c r="J281" s="31" t="inlineStr">
        <is>
          <t>M</t>
        </is>
      </c>
      <c r="K281" s="50" t="n"/>
      <c r="L281" s="50" t="n"/>
      <c r="M281" s="67" t="n"/>
      <c r="N281" s="30" t="n"/>
      <c r="O281" s="12">
        <f>IF(tb_rechnungen[[#This Row],[Re-Datum]]&gt;0,MONTH(tb_rechnungen[[#This Row],[Re-Datum]]),"")</f>
        <v/>
      </c>
      <c r="P281" s="13">
        <f>IF(tb_rechnungen[[#This Row],[Re-Datum]]&gt;0,YEAR(tb_rechnungen[[#This Row],[Re-Datum]]),"")</f>
        <v/>
      </c>
      <c r="Q281" s="19">
        <f>IF(tb_rechnungen[[#This Row],[Brutto]]&lt;&gt;0,tb_rechnungen[[#This Row],[Brutto]]-tb_rechnungen[[#This Row],[Netto]],"")</f>
        <v/>
      </c>
      <c r="R281" s="37">
        <f>IF(tb_rechnungen[[#This Row],[Netto]]&lt;&gt;0,ROUND(tb_rechnungen[[#This Row],[Steuer]]/tb_rechnungen[[#This Row],[Netto]],2),"")</f>
        <v/>
      </c>
    </row>
    <row r="282" hidden="1">
      <c r="A282" s="26" t="n">
        <v>45958</v>
      </c>
      <c r="B282" s="27" t="inlineStr">
        <is>
          <t>PSW Group</t>
        </is>
      </c>
      <c r="C282" s="28" t="inlineStr">
        <is>
          <t>RG12533813</t>
        </is>
      </c>
      <c r="D282" s="28" t="inlineStr">
        <is>
          <t>E</t>
        </is>
      </c>
      <c r="E282" s="27" t="inlineStr">
        <is>
          <t>SSL-Zerifikat regisafe.waldfischbach-burgalben.de</t>
        </is>
      </c>
      <c r="F282" s="29" t="n">
        <v>13.61</v>
      </c>
      <c r="G282" s="29" t="n">
        <v>16.2</v>
      </c>
      <c r="H282" s="30" t="inlineStr">
        <is>
          <t>X</t>
        </is>
      </c>
      <c r="I282" s="30" t="inlineStr">
        <is>
          <t>A</t>
        </is>
      </c>
      <c r="J282" s="31" t="inlineStr">
        <is>
          <t>M</t>
        </is>
      </c>
      <c r="K282" s="50" t="n"/>
      <c r="L282" s="50" t="n"/>
      <c r="M282" s="67" t="n"/>
      <c r="N282" s="30" t="n"/>
      <c r="O282" s="12">
        <f>IF(tb_rechnungen[[#This Row],[Re-Datum]]&gt;0,MONTH(tb_rechnungen[[#This Row],[Re-Datum]]),"")</f>
        <v/>
      </c>
      <c r="P282" s="13">
        <f>IF(tb_rechnungen[[#This Row],[Re-Datum]]&gt;0,YEAR(tb_rechnungen[[#This Row],[Re-Datum]]),"")</f>
        <v/>
      </c>
      <c r="Q282" s="19">
        <f>IF(tb_rechnungen[[#This Row],[Brutto]]&lt;&gt;0,tb_rechnungen[[#This Row],[Brutto]]-tb_rechnungen[[#This Row],[Netto]],"")</f>
        <v/>
      </c>
      <c r="R282" s="37">
        <f>IF(tb_rechnungen[[#This Row],[Netto]]&lt;&gt;0,ROUND(tb_rechnungen[[#This Row],[Steuer]]/tb_rechnungen[[#This Row],[Netto]],2),"")</f>
        <v/>
      </c>
    </row>
    <row r="283" hidden="1">
      <c r="A283" s="26" t="n">
        <v>45960</v>
      </c>
      <c r="B283" s="27" t="inlineStr">
        <is>
          <t>PSW Group</t>
        </is>
      </c>
      <c r="C283" s="28" t="inlineStr">
        <is>
          <t>RG12534125</t>
        </is>
      </c>
      <c r="D283" s="28" t="inlineStr">
        <is>
          <t>E</t>
        </is>
      </c>
      <c r="E283" s="27" t="inlineStr">
        <is>
          <t>SSL-Zertifikat emmblk.uhde.de</t>
        </is>
      </c>
      <c r="F283" s="29" t="n">
        <v>13.61</v>
      </c>
      <c r="G283" s="29" t="n">
        <v>16.2</v>
      </c>
      <c r="H283" s="30" t="inlineStr">
        <is>
          <t>X</t>
        </is>
      </c>
      <c r="I283" s="30" t="inlineStr">
        <is>
          <t>A</t>
        </is>
      </c>
      <c r="J283" s="31" t="inlineStr">
        <is>
          <t>M</t>
        </is>
      </c>
      <c r="K283" s="50" t="n"/>
      <c r="L283" s="50" t="n"/>
      <c r="M283" s="67" t="n"/>
      <c r="N283" s="30" t="n"/>
      <c r="O283" s="12">
        <f>IF(tb_rechnungen[[#This Row],[Re-Datum]]&gt;0,MONTH(tb_rechnungen[[#This Row],[Re-Datum]]),"")</f>
        <v/>
      </c>
      <c r="P283" s="13">
        <f>IF(tb_rechnungen[[#This Row],[Re-Datum]]&gt;0,YEAR(tb_rechnungen[[#This Row],[Re-Datum]]),"")</f>
        <v/>
      </c>
      <c r="Q283" s="19">
        <f>IF(tb_rechnungen[[#This Row],[Brutto]]&lt;&gt;0,tb_rechnungen[[#This Row],[Brutto]]-tb_rechnungen[[#This Row],[Netto]],"")</f>
        <v/>
      </c>
      <c r="R283" s="37">
        <f>IF(tb_rechnungen[[#This Row],[Netto]]&lt;&gt;0,ROUND(tb_rechnungen[[#This Row],[Steuer]]/tb_rechnungen[[#This Row],[Netto]],2),"")</f>
        <v/>
      </c>
    </row>
    <row r="284" hidden="1">
      <c r="A284" s="26" t="n">
        <v>45961</v>
      </c>
      <c r="B284" s="27" t="inlineStr">
        <is>
          <t>DTS NFON</t>
        </is>
      </c>
      <c r="C284" s="28" t="inlineStr">
        <is>
          <t>25-13-116119</t>
        </is>
      </c>
      <c r="D284" s="28" t="inlineStr">
        <is>
          <t>K</t>
        </is>
      </c>
      <c r="E284" s="27" t="inlineStr">
        <is>
          <t>Oktober</t>
        </is>
      </c>
      <c r="F284" s="29" t="n">
        <v>24.63</v>
      </c>
      <c r="G284" s="29" t="n">
        <v>29.31</v>
      </c>
      <c r="H284" s="30" t="inlineStr">
        <is>
          <t>X</t>
        </is>
      </c>
      <c r="I284" s="30" t="inlineStr">
        <is>
          <t>A</t>
        </is>
      </c>
      <c r="J284" s="30" t="inlineStr">
        <is>
          <t>M</t>
        </is>
      </c>
      <c r="K284" s="50" t="n"/>
      <c r="L284" s="50" t="n"/>
      <c r="M284" s="67" t="n"/>
      <c r="N284" s="30" t="n"/>
      <c r="O284" s="12">
        <f>IF(tb_rechnungen[[#This Row],[Re-Datum]]&gt;0,MONTH(tb_rechnungen[[#This Row],[Re-Datum]]),"")</f>
        <v/>
      </c>
      <c r="P284" s="13">
        <f>IF(tb_rechnungen[[#This Row],[Re-Datum]]&gt;0,YEAR(tb_rechnungen[[#This Row],[Re-Datum]]),"")</f>
        <v/>
      </c>
      <c r="Q284" s="19">
        <f>IF(tb_rechnungen[[#This Row],[Brutto]]&lt;&gt;0,tb_rechnungen[[#This Row],[Brutto]]-tb_rechnungen[[#This Row],[Netto]],"")</f>
        <v/>
      </c>
      <c r="R284" s="37">
        <f>IF(tb_rechnungen[[#This Row],[Netto]]&lt;&gt;0,ROUND(tb_rechnungen[[#This Row],[Steuer]]/tb_rechnungen[[#This Row],[Netto]],2),"")</f>
        <v/>
      </c>
    </row>
    <row r="285" hidden="1">
      <c r="A285" s="26" t="n">
        <v>45961</v>
      </c>
      <c r="B285" s="27" t="inlineStr">
        <is>
          <t>DTS NFON</t>
        </is>
      </c>
      <c r="C285" s="28" t="inlineStr">
        <is>
          <t>25-13-123254</t>
        </is>
      </c>
      <c r="D285" s="28" t="inlineStr">
        <is>
          <t>K</t>
        </is>
      </c>
      <c r="E285" s="27" t="inlineStr">
        <is>
          <t>Oktober Nachberechnung</t>
        </is>
      </c>
      <c r="F285" s="29" t="n">
        <v>0.73</v>
      </c>
      <c r="G285" s="29" t="n">
        <v>0.87</v>
      </c>
      <c r="H285" s="30" t="inlineStr">
        <is>
          <t>X</t>
        </is>
      </c>
      <c r="I285" s="30" t="inlineStr">
        <is>
          <t>A</t>
        </is>
      </c>
      <c r="J285" s="30" t="inlineStr">
        <is>
          <t>M</t>
        </is>
      </c>
      <c r="K285" s="50" t="n"/>
      <c r="L285" s="50" t="n"/>
      <c r="M285" s="67" t="n"/>
      <c r="N285" s="30" t="n"/>
      <c r="O285" s="12">
        <f>IF(tb_rechnungen[[#This Row],[Re-Datum]]&gt;0,MONTH(tb_rechnungen[[#This Row],[Re-Datum]]),"")</f>
        <v/>
      </c>
      <c r="P285" s="13">
        <f>IF(tb_rechnungen[[#This Row],[Re-Datum]]&gt;0,YEAR(tb_rechnungen[[#This Row],[Re-Datum]]),"")</f>
        <v/>
      </c>
      <c r="Q285" s="19">
        <f>IF(tb_rechnungen[[#This Row],[Brutto]]&lt;&gt;0,tb_rechnungen[[#This Row],[Brutto]]-tb_rechnungen[[#This Row],[Netto]],"")</f>
        <v/>
      </c>
      <c r="R285" s="37">
        <f>IF(tb_rechnungen[[#This Row],[Netto]]&lt;&gt;0,ROUND(tb_rechnungen[[#This Row],[Steuer]]/tb_rechnungen[[#This Row],[Netto]],2),"")</f>
        <v/>
      </c>
    </row>
    <row r="286" hidden="1">
      <c r="A286" s="26" t="n">
        <v>45961</v>
      </c>
      <c r="B286" s="27" t="inlineStr">
        <is>
          <t>DKV</t>
        </is>
      </c>
      <c r="C286" s="28" t="inlineStr">
        <is>
          <t>25/647490339/001</t>
        </is>
      </c>
      <c r="D286" s="28" t="inlineStr">
        <is>
          <t>K</t>
        </is>
      </c>
      <c r="E286" s="27" t="inlineStr">
        <is>
          <t>Oktober</t>
        </is>
      </c>
      <c r="F286" s="29" t="n">
        <v>60.22</v>
      </c>
      <c r="G286" s="29" t="n">
        <v>71.66</v>
      </c>
      <c r="H286" s="30" t="inlineStr">
        <is>
          <t>X</t>
        </is>
      </c>
      <c r="I286" s="30" t="inlineStr">
        <is>
          <t>A</t>
        </is>
      </c>
      <c r="J286" s="30" t="inlineStr">
        <is>
          <t>M</t>
        </is>
      </c>
      <c r="K286" s="50" t="n"/>
      <c r="L286" s="50" t="n"/>
      <c r="M286" s="67" t="n"/>
      <c r="N286" s="30" t="n"/>
      <c r="O286" s="12">
        <f>IF(tb_rechnungen[[#This Row],[Re-Datum]]&gt;0,MONTH(tb_rechnungen[[#This Row],[Re-Datum]]),"")</f>
        <v/>
      </c>
      <c r="P286" s="13">
        <f>IF(tb_rechnungen[[#This Row],[Re-Datum]]&gt;0,YEAR(tb_rechnungen[[#This Row],[Re-Datum]]),"")</f>
        <v/>
      </c>
      <c r="Q286" s="19">
        <f>IF(tb_rechnungen[[#This Row],[Brutto]]&lt;&gt;0,tb_rechnungen[[#This Row],[Brutto]]-tb_rechnungen[[#This Row],[Netto]],"")</f>
        <v/>
      </c>
      <c r="R286" s="37">
        <f>IF(tb_rechnungen[[#This Row],[Netto]]&lt;&gt;0,ROUND(tb_rechnungen[[#This Row],[Steuer]]/tb_rechnungen[[#This Row],[Netto]],2),"")</f>
        <v/>
      </c>
    </row>
    <row r="287" hidden="1">
      <c r="A287" s="26" t="n">
        <v>45962</v>
      </c>
      <c r="B287" s="27" t="inlineStr">
        <is>
          <t>VW Leasing</t>
        </is>
      </c>
      <c r="C287" s="27" t="inlineStr">
        <is>
          <t>R10255164667</t>
        </is>
      </c>
      <c r="D287" s="28" t="inlineStr">
        <is>
          <t>K</t>
        </is>
      </c>
      <c r="E287" s="27" t="inlineStr">
        <is>
          <t>November</t>
        </is>
      </c>
      <c r="F287" s="29" t="n">
        <v>37.43</v>
      </c>
      <c r="G287" s="29" t="n">
        <v>44.54</v>
      </c>
      <c r="H287" s="30" t="inlineStr">
        <is>
          <t>X</t>
        </is>
      </c>
      <c r="I287" s="30" t="inlineStr">
        <is>
          <t>A</t>
        </is>
      </c>
      <c r="J287" s="31" t="inlineStr">
        <is>
          <t>M</t>
        </is>
      </c>
      <c r="K287" s="50" t="n"/>
      <c r="L287" s="50" t="n"/>
      <c r="M287" s="67" t="n"/>
      <c r="N287" s="30" t="n"/>
      <c r="O287" s="12">
        <f>IF(tb_rechnungen[[#This Row],[Re-Datum]]&gt;0,MONTH(tb_rechnungen[[#This Row],[Re-Datum]]),"")</f>
        <v/>
      </c>
      <c r="P287" s="13">
        <f>IF(tb_rechnungen[[#This Row],[Re-Datum]]&gt;0,YEAR(tb_rechnungen[[#This Row],[Re-Datum]]),"")</f>
        <v/>
      </c>
      <c r="Q287" s="19">
        <f>IF(tb_rechnungen[[#This Row],[Brutto]]&lt;&gt;0,tb_rechnungen[[#This Row],[Brutto]]-tb_rechnungen[[#This Row],[Netto]],"")</f>
        <v/>
      </c>
      <c r="R287" s="37">
        <f>IF(tb_rechnungen[[#This Row],[Netto]]&lt;&gt;0,ROUND(tb_rechnungen[[#This Row],[Steuer]]/tb_rechnungen[[#This Row],[Netto]],2),"")</f>
        <v/>
      </c>
    </row>
    <row r="288" hidden="1">
      <c r="A288" s="26" t="n">
        <v>45963</v>
      </c>
      <c r="B288" s="27" t="inlineStr">
        <is>
          <t>Video4Net</t>
        </is>
      </c>
      <c r="C288" s="28" t="inlineStr">
        <is>
          <t>GM-8379</t>
        </is>
      </c>
      <c r="D288" s="28" t="inlineStr">
        <is>
          <t>K</t>
        </is>
      </c>
      <c r="E288" s="27" t="inlineStr">
        <is>
          <t>September</t>
        </is>
      </c>
      <c r="F288" s="29" t="n">
        <v>45</v>
      </c>
      <c r="G288" s="29" t="n">
        <v>53.55</v>
      </c>
      <c r="H288" s="30" t="inlineStr">
        <is>
          <t>X</t>
        </is>
      </c>
      <c r="I288" s="30" t="inlineStr">
        <is>
          <t>Z</t>
        </is>
      </c>
      <c r="J288" s="31" t="inlineStr">
        <is>
          <t>M</t>
        </is>
      </c>
      <c r="K288" s="50" t="n"/>
      <c r="L288" s="50" t="n"/>
      <c r="M288" s="67" t="n"/>
      <c r="N288" s="30" t="n"/>
      <c r="O288" s="12">
        <f>IF(tb_rechnungen[[#This Row],[Re-Datum]]&gt;0,MONTH(tb_rechnungen[[#This Row],[Re-Datum]]),"")</f>
        <v/>
      </c>
      <c r="P288" s="13">
        <f>IF(tb_rechnungen[[#This Row],[Re-Datum]]&gt;0,YEAR(tb_rechnungen[[#This Row],[Re-Datum]]),"")</f>
        <v/>
      </c>
      <c r="Q288" s="19">
        <f>IF(tb_rechnungen[[#This Row],[Brutto]]&lt;&gt;0,tb_rechnungen[[#This Row],[Brutto]]-tb_rechnungen[[#This Row],[Netto]],"")</f>
        <v/>
      </c>
      <c r="R288" s="37">
        <f>IF(tb_rechnungen[[#This Row],[Netto]]&lt;&gt;0,ROUND(tb_rechnungen[[#This Row],[Steuer]]/tb_rechnungen[[#This Row],[Netto]],2),"")</f>
        <v/>
      </c>
    </row>
    <row r="289" hidden="1">
      <c r="A289" s="26" t="n">
        <v>45964</v>
      </c>
      <c r="B289" s="27" t="inlineStr">
        <is>
          <t>Haus&amp;Grund</t>
        </is>
      </c>
      <c r="C289" s="28" t="inlineStr">
        <is>
          <t>Miete 11/2025</t>
        </is>
      </c>
      <c r="D289" s="28" t="inlineStr">
        <is>
          <t>K</t>
        </is>
      </c>
      <c r="E289" s="27" t="inlineStr">
        <is>
          <t>Miete</t>
        </is>
      </c>
      <c r="F289" s="29" t="n">
        <v>225</v>
      </c>
      <c r="G289" s="29" t="n">
        <v>225</v>
      </c>
      <c r="H289" s="30" t="inlineStr">
        <is>
          <t>X</t>
        </is>
      </c>
      <c r="I289" s="30" t="inlineStr">
        <is>
          <t>D</t>
        </is>
      </c>
      <c r="J289" s="30" t="inlineStr">
        <is>
          <t>M</t>
        </is>
      </c>
      <c r="K289" s="50" t="n"/>
      <c r="L289" s="50" t="n"/>
      <c r="M289" s="67" t="n"/>
      <c r="N289" s="30" t="n"/>
      <c r="O289" s="12">
        <f>IF(tb_rechnungen[[#This Row],[Re-Datum]]&gt;0,MONTH(tb_rechnungen[[#This Row],[Re-Datum]]),"")</f>
        <v/>
      </c>
      <c r="P289" s="13">
        <f>IF(tb_rechnungen[[#This Row],[Re-Datum]]&gt;0,YEAR(tb_rechnungen[[#This Row],[Re-Datum]]),"")</f>
        <v/>
      </c>
      <c r="Q289" s="19">
        <f>IF(tb_rechnungen[[#This Row],[Brutto]]&lt;&gt;0,tb_rechnungen[[#This Row],[Brutto]]-tb_rechnungen[[#This Row],[Netto]],"")</f>
        <v/>
      </c>
      <c r="R289" s="37">
        <f>IF(tb_rechnungen[[#This Row],[Netto]]&lt;&gt;0,ROUND(tb_rechnungen[[#This Row],[Steuer]]/tb_rechnungen[[#This Row],[Netto]],2),"")</f>
        <v/>
      </c>
    </row>
    <row r="290" hidden="1">
      <c r="A290" s="26" t="n">
        <v>45964</v>
      </c>
      <c r="B290" s="27" t="inlineStr">
        <is>
          <t>API</t>
        </is>
      </c>
      <c r="C290" s="28" t="inlineStr">
        <is>
          <t>R14477858</t>
        </is>
      </c>
      <c r="D290" s="28" t="inlineStr">
        <is>
          <t>E</t>
        </is>
      </c>
      <c r="E290" s="27" t="inlineStr">
        <is>
          <t>U(biquiti Cloud Key G2</t>
        </is>
      </c>
      <c r="F290" s="29" t="n">
        <v>121.21</v>
      </c>
      <c r="G290" s="29" t="n">
        <v>144.24</v>
      </c>
      <c r="H290" s="30" t="inlineStr">
        <is>
          <t>X</t>
        </is>
      </c>
      <c r="I290" s="30" t="inlineStr">
        <is>
          <t>Z</t>
        </is>
      </c>
      <c r="J290" s="31" t="inlineStr">
        <is>
          <t>M</t>
        </is>
      </c>
      <c r="K290" s="50" t="n"/>
      <c r="L290" s="50" t="n"/>
      <c r="M290" s="67" t="n"/>
      <c r="N290" s="30" t="n"/>
      <c r="O290" s="12">
        <f>IF(tb_rechnungen[[#This Row],[Re-Datum]]&gt;0,MONTH(tb_rechnungen[[#This Row],[Re-Datum]]),"")</f>
        <v/>
      </c>
      <c r="P290" s="13">
        <f>IF(tb_rechnungen[[#This Row],[Re-Datum]]&gt;0,YEAR(tb_rechnungen[[#This Row],[Re-Datum]]),"")</f>
        <v/>
      </c>
      <c r="Q290" s="19">
        <f>IF(tb_rechnungen[[#This Row],[Brutto]]&lt;&gt;0,tb_rechnungen[[#This Row],[Brutto]]-tb_rechnungen[[#This Row],[Netto]],"")</f>
        <v/>
      </c>
      <c r="R290" s="37">
        <f>IF(tb_rechnungen[[#This Row],[Netto]]&lt;&gt;0,ROUND(tb_rechnungen[[#This Row],[Steuer]]/tb_rechnungen[[#This Row],[Netto]],2),"")</f>
        <v/>
      </c>
    </row>
    <row r="291" hidden="1">
      <c r="A291" s="26" t="n">
        <v>45965</v>
      </c>
      <c r="B291" s="27" t="inlineStr">
        <is>
          <t>TDSynex</t>
        </is>
      </c>
      <c r="C291" s="28" t="inlineStr">
        <is>
          <t>R8275972407</t>
        </is>
      </c>
      <c r="D291" s="28" t="inlineStr">
        <is>
          <t>E</t>
        </is>
      </c>
      <c r="E291" s="27" t="inlineStr">
        <is>
          <t xml:space="preserve">2x HP Care Pack </t>
        </is>
      </c>
      <c r="F291" s="29" t="n">
        <v>75.88</v>
      </c>
      <c r="G291" s="29" t="n">
        <v>90.3</v>
      </c>
      <c r="H291" s="30" t="inlineStr">
        <is>
          <t>X</t>
        </is>
      </c>
      <c r="I291" s="30" t="inlineStr">
        <is>
          <t>Z</t>
        </is>
      </c>
      <c r="J291" s="31" t="inlineStr">
        <is>
          <t>M</t>
        </is>
      </c>
      <c r="K291" s="50" t="n"/>
      <c r="L291" s="50" t="n"/>
      <c r="M291" s="67" t="n"/>
      <c r="N291" s="30" t="n"/>
      <c r="O291" s="12">
        <f>IF(tb_rechnungen[[#This Row],[Re-Datum]]&gt;0,MONTH(tb_rechnungen[[#This Row],[Re-Datum]]),"")</f>
        <v/>
      </c>
      <c r="P291" s="13">
        <f>IF(tb_rechnungen[[#This Row],[Re-Datum]]&gt;0,YEAR(tb_rechnungen[[#This Row],[Re-Datum]]),"")</f>
        <v/>
      </c>
      <c r="Q291" s="19">
        <f>IF(tb_rechnungen[[#This Row],[Brutto]]&lt;&gt;0,tb_rechnungen[[#This Row],[Brutto]]-tb_rechnungen[[#This Row],[Netto]],"")</f>
        <v/>
      </c>
      <c r="R291" s="37">
        <f>IF(tb_rechnungen[[#This Row],[Netto]]&lt;&gt;0,ROUND(tb_rechnungen[[#This Row],[Steuer]]/tb_rechnungen[[#This Row],[Netto]],2),"")</f>
        <v/>
      </c>
    </row>
    <row r="292" hidden="1">
      <c r="A292" s="26" t="n">
        <v>45966</v>
      </c>
      <c r="B292" s="27" t="inlineStr">
        <is>
          <t>API</t>
        </is>
      </c>
      <c r="C292" s="28" t="inlineStr">
        <is>
          <t>R14487497</t>
        </is>
      </c>
      <c r="D292" s="28" t="inlineStr">
        <is>
          <t>E</t>
        </is>
      </c>
      <c r="E292" s="27" t="inlineStr">
        <is>
          <t xml:space="preserve">8TB Seagate </t>
        </is>
      </c>
      <c r="F292" s="29" t="n">
        <v>175.03</v>
      </c>
      <c r="G292" s="29" t="n">
        <v>208.29</v>
      </c>
      <c r="H292" s="30" t="inlineStr">
        <is>
          <t>X</t>
        </is>
      </c>
      <c r="I292" s="30" t="inlineStr">
        <is>
          <t>Z</t>
        </is>
      </c>
      <c r="J292" s="31" t="inlineStr">
        <is>
          <t>M</t>
        </is>
      </c>
      <c r="K292" s="50" t="n"/>
      <c r="L292" s="50" t="n"/>
      <c r="M292" s="67" t="n"/>
      <c r="N292" s="30" t="n"/>
      <c r="O292" s="12">
        <f>IF(tb_rechnungen[[#This Row],[Re-Datum]]&gt;0,MONTH(tb_rechnungen[[#This Row],[Re-Datum]]),"")</f>
        <v/>
      </c>
      <c r="P292" s="13">
        <f>IF(tb_rechnungen[[#This Row],[Re-Datum]]&gt;0,YEAR(tb_rechnungen[[#This Row],[Re-Datum]]),"")</f>
        <v/>
      </c>
      <c r="Q292" s="19">
        <f>IF(tb_rechnungen[[#This Row],[Brutto]]&lt;&gt;0,tb_rechnungen[[#This Row],[Brutto]]-tb_rechnungen[[#This Row],[Netto]],"")</f>
        <v/>
      </c>
      <c r="R292" s="37">
        <f>IF(tb_rechnungen[[#This Row],[Netto]]&lt;&gt;0,ROUND(tb_rechnungen[[#This Row],[Steuer]]/tb_rechnungen[[#This Row],[Netto]],2),"")</f>
        <v/>
      </c>
    </row>
    <row r="293" hidden="1">
      <c r="A293" s="26" t="n">
        <v>45966</v>
      </c>
      <c r="B293" s="27" t="inlineStr">
        <is>
          <t>OpenAI</t>
        </is>
      </c>
      <c r="C293" s="28" t="inlineStr">
        <is>
          <t>7J06MMBJ-0007</t>
        </is>
      </c>
      <c r="D293" s="28" t="inlineStr">
        <is>
          <t>K</t>
        </is>
      </c>
      <c r="E293" s="27" t="inlineStr">
        <is>
          <t>ChatGpt bis 5.12.2025</t>
        </is>
      </c>
      <c r="F293" s="29" t="n">
        <v>17.43</v>
      </c>
      <c r="G293" s="29" t="n">
        <v>17.43</v>
      </c>
      <c r="H293" s="30" t="inlineStr">
        <is>
          <t>X</t>
        </is>
      </c>
      <c r="I293" s="30" t="inlineStr">
        <is>
          <t>A</t>
        </is>
      </c>
      <c r="J293" s="31" t="inlineStr">
        <is>
          <t>M</t>
        </is>
      </c>
      <c r="K293" s="50" t="n"/>
      <c r="L293" s="50" t="n"/>
      <c r="M293" s="67" t="n"/>
      <c r="N293" s="30" t="inlineStr">
        <is>
          <t>FX</t>
        </is>
      </c>
      <c r="O293" s="12">
        <f>IF(tb_rechnungen[[#This Row],[Re-Datum]]&gt;0,MONTH(tb_rechnungen[[#This Row],[Re-Datum]]),"")</f>
        <v/>
      </c>
      <c r="P293" s="13">
        <f>IF(tb_rechnungen[[#This Row],[Re-Datum]]&gt;0,YEAR(tb_rechnungen[[#This Row],[Re-Datum]]),"")</f>
        <v/>
      </c>
      <c r="Q293" s="19">
        <f>IF(tb_rechnungen[[#This Row],[Brutto]]&lt;&gt;0,tb_rechnungen[[#This Row],[Brutto]]-tb_rechnungen[[#This Row],[Netto]],"")</f>
        <v/>
      </c>
      <c r="R293" s="37">
        <f>IF(tb_rechnungen[[#This Row],[Netto]]&lt;&gt;0,ROUND(tb_rechnungen[[#This Row],[Steuer]]/tb_rechnungen[[#This Row],[Netto]],2),"")</f>
        <v/>
      </c>
    </row>
    <row r="294" hidden="1">
      <c r="A294" s="26" t="n">
        <v>45967</v>
      </c>
      <c r="B294" s="27" t="inlineStr">
        <is>
          <t>API</t>
        </is>
      </c>
      <c r="C294" s="28" t="inlineStr">
        <is>
          <t>R14492463</t>
        </is>
      </c>
      <c r="D294" s="28" t="inlineStr">
        <is>
          <t>E</t>
        </is>
      </c>
      <c r="E294" s="27" t="inlineStr">
        <is>
          <t>4 x mobile WD Festplatten 8TB</t>
        </is>
      </c>
      <c r="F294" s="29" t="n">
        <v>597.72</v>
      </c>
      <c r="G294" s="29" t="n">
        <v>711.29</v>
      </c>
      <c r="H294" s="30" t="inlineStr">
        <is>
          <t>X</t>
        </is>
      </c>
      <c r="I294" s="30" t="inlineStr">
        <is>
          <t>Z</t>
        </is>
      </c>
      <c r="J294" s="31" t="inlineStr">
        <is>
          <t>M</t>
        </is>
      </c>
      <c r="K294" s="50" t="n"/>
      <c r="L294" s="50" t="n"/>
      <c r="M294" s="67" t="n"/>
      <c r="N294" s="30" t="n"/>
      <c r="O294" s="12">
        <f>IF(tb_rechnungen[[#This Row],[Re-Datum]]&gt;0,MONTH(tb_rechnungen[[#This Row],[Re-Datum]]),"")</f>
        <v/>
      </c>
      <c r="P294" s="13">
        <f>IF(tb_rechnungen[[#This Row],[Re-Datum]]&gt;0,YEAR(tb_rechnungen[[#This Row],[Re-Datum]]),"")</f>
        <v/>
      </c>
      <c r="Q294" s="19">
        <f>IF(tb_rechnungen[[#This Row],[Brutto]]&lt;&gt;0,tb_rechnungen[[#This Row],[Brutto]]-tb_rechnungen[[#This Row],[Netto]],"")</f>
        <v/>
      </c>
      <c r="R294" s="37">
        <f>IF(tb_rechnungen[[#This Row],[Netto]]&lt;&gt;0,ROUND(tb_rechnungen[[#This Row],[Steuer]]/tb_rechnungen[[#This Row],[Netto]],2),"")</f>
        <v/>
      </c>
    </row>
    <row r="295" hidden="1">
      <c r="A295" s="26" t="n">
        <v>45967</v>
      </c>
      <c r="B295" s="27" t="inlineStr">
        <is>
          <t>API</t>
        </is>
      </c>
      <c r="C295" s="28" t="inlineStr">
        <is>
          <t>R14493893</t>
        </is>
      </c>
      <c r="D295" s="28" t="inlineStr">
        <is>
          <t>E</t>
        </is>
      </c>
      <c r="E295" s="27" t="inlineStr">
        <is>
          <t>HP Pro 400 G11</t>
        </is>
      </c>
      <c r="F295" s="29" t="n">
        <v>826.35</v>
      </c>
      <c r="G295" s="29" t="n">
        <v>983.36</v>
      </c>
      <c r="H295" s="30" t="inlineStr">
        <is>
          <t>X</t>
        </is>
      </c>
      <c r="I295" s="30" t="inlineStr">
        <is>
          <t>Z</t>
        </is>
      </c>
      <c r="J295" s="31" t="inlineStr">
        <is>
          <t>M</t>
        </is>
      </c>
      <c r="K295" s="50" t="n"/>
      <c r="L295" s="50" t="n"/>
      <c r="M295" s="67" t="n"/>
      <c r="N295" s="30" t="n"/>
      <c r="O295" s="12">
        <f>IF(tb_rechnungen[[#This Row],[Re-Datum]]&gt;0,MONTH(tb_rechnungen[[#This Row],[Re-Datum]]),"")</f>
        <v/>
      </c>
      <c r="P295" s="13">
        <f>IF(tb_rechnungen[[#This Row],[Re-Datum]]&gt;0,YEAR(tb_rechnungen[[#This Row],[Re-Datum]]),"")</f>
        <v/>
      </c>
      <c r="Q295" s="19">
        <f>IF(tb_rechnungen[[#This Row],[Brutto]]&lt;&gt;0,tb_rechnungen[[#This Row],[Brutto]]-tb_rechnungen[[#This Row],[Netto]],"")</f>
        <v/>
      </c>
      <c r="R295" s="37">
        <f>IF(tb_rechnungen[[#This Row],[Netto]]&lt;&gt;0,ROUND(tb_rechnungen[[#This Row],[Steuer]]/tb_rechnungen[[#This Row],[Netto]],2),"")</f>
        <v/>
      </c>
    </row>
    <row r="296" hidden="1">
      <c r="A296" s="26" t="n">
        <v>45969</v>
      </c>
      <c r="B296" s="27" t="inlineStr">
        <is>
          <t>Wortmann</t>
        </is>
      </c>
      <c r="C296" s="28" t="inlineStr">
        <is>
          <t>DR8994869</t>
        </is>
      </c>
      <c r="D296" s="28" t="inlineStr">
        <is>
          <t>E</t>
        </is>
      </c>
      <c r="E296" s="27" t="inlineStr">
        <is>
          <t>Corbonite Backup VEH Oktober</t>
        </is>
      </c>
      <c r="F296" s="29" t="n">
        <v>14.9</v>
      </c>
      <c r="G296" s="29" t="n">
        <v>17.73</v>
      </c>
      <c r="H296" s="30" t="inlineStr">
        <is>
          <t>X</t>
        </is>
      </c>
      <c r="I296" s="30" t="inlineStr">
        <is>
          <t>A</t>
        </is>
      </c>
      <c r="J296" s="31" t="inlineStr">
        <is>
          <t>M</t>
        </is>
      </c>
      <c r="K296" s="50" t="n"/>
      <c r="L296" s="50" t="n"/>
      <c r="M296" s="67" t="n"/>
      <c r="N296" s="30" t="n"/>
      <c r="O296" s="12">
        <f>IF(tb_rechnungen[[#This Row],[Re-Datum]]&gt;0,MONTH(tb_rechnungen[[#This Row],[Re-Datum]]),"")</f>
        <v/>
      </c>
      <c r="P296" s="13">
        <f>IF(tb_rechnungen[[#This Row],[Re-Datum]]&gt;0,YEAR(tb_rechnungen[[#This Row],[Re-Datum]]),"")</f>
        <v/>
      </c>
      <c r="Q296" s="19">
        <f>IF(tb_rechnungen[[#This Row],[Brutto]]&lt;&gt;0,tb_rechnungen[[#This Row],[Brutto]]-tb_rechnungen[[#This Row],[Netto]],"")</f>
        <v/>
      </c>
      <c r="R296" s="37">
        <f>IF(tb_rechnungen[[#This Row],[Netto]]&lt;&gt;0,ROUND(tb_rechnungen[[#This Row],[Steuer]]/tb_rechnungen[[#This Row],[Netto]],2),"")</f>
        <v/>
      </c>
    </row>
    <row r="297" hidden="1">
      <c r="A297" s="26" t="n">
        <v>45971</v>
      </c>
      <c r="B297" s="27" t="inlineStr">
        <is>
          <t>Ratiokontakt</t>
        </is>
      </c>
      <c r="C297" s="28" t="inlineStr">
        <is>
          <t>R10890695</t>
        </is>
      </c>
      <c r="D297" s="28" t="inlineStr">
        <is>
          <t>E</t>
        </is>
      </c>
      <c r="E297" s="27" t="inlineStr">
        <is>
          <t>bis 14.11.2026</t>
        </is>
      </c>
      <c r="F297" s="29" t="n">
        <v>36.98</v>
      </c>
      <c r="G297" s="29" t="n">
        <v>44.01</v>
      </c>
      <c r="H297" s="30" t="inlineStr">
        <is>
          <t>X</t>
        </is>
      </c>
      <c r="I297" s="30" t="inlineStr">
        <is>
          <t>A</t>
        </is>
      </c>
      <c r="J297" s="31" t="inlineStr">
        <is>
          <t>M</t>
        </is>
      </c>
      <c r="K297" s="50" t="n"/>
      <c r="L297" s="50" t="n"/>
      <c r="M297" s="67" t="n"/>
      <c r="N297" s="30" t="n"/>
      <c r="O297" s="12">
        <f>IF(tb_rechnungen[[#This Row],[Re-Datum]]&gt;0,MONTH(tb_rechnungen[[#This Row],[Re-Datum]]),"")</f>
        <v/>
      </c>
      <c r="P297" s="13">
        <f>IF(tb_rechnungen[[#This Row],[Re-Datum]]&gt;0,YEAR(tb_rechnungen[[#This Row],[Re-Datum]]),"")</f>
        <v/>
      </c>
      <c r="Q297" s="19">
        <f>IF(tb_rechnungen[[#This Row],[Brutto]]&lt;&gt;0,tb_rechnungen[[#This Row],[Brutto]]-tb_rechnungen[[#This Row],[Netto]],"")</f>
        <v/>
      </c>
      <c r="R297" s="37">
        <f>IF(tb_rechnungen[[#This Row],[Netto]]&lt;&gt;0,ROUND(tb_rechnungen[[#This Row],[Steuer]]/tb_rechnungen[[#This Row],[Netto]],2),"")</f>
        <v/>
      </c>
    </row>
    <row r="298" hidden="1">
      <c r="A298" s="26" t="n">
        <v>45973</v>
      </c>
      <c r="B298" s="27" t="inlineStr">
        <is>
          <t>Ramgesoft</t>
        </is>
      </c>
      <c r="C298" s="28" t="inlineStr">
        <is>
          <t>RE200104391</t>
        </is>
      </c>
      <c r="D298" s="28" t="inlineStr">
        <is>
          <t>E</t>
        </is>
      </c>
      <c r="E298" s="27" t="inlineStr">
        <is>
          <t>Patchmanager</t>
        </is>
      </c>
      <c r="F298" s="29" t="n">
        <v>716.4</v>
      </c>
      <c r="G298" s="29" t="n">
        <v>852.52</v>
      </c>
      <c r="H298" s="30" t="inlineStr">
        <is>
          <t>X</t>
        </is>
      </c>
      <c r="I298" s="30" t="inlineStr">
        <is>
          <t>Z</t>
        </is>
      </c>
      <c r="J298" s="31" t="inlineStr">
        <is>
          <t>M</t>
        </is>
      </c>
      <c r="K298" s="50" t="n"/>
      <c r="L298" s="50" t="n"/>
      <c r="M298" s="67" t="n"/>
      <c r="N298" s="30" t="n"/>
      <c r="O298" s="12">
        <f>IF(tb_rechnungen[[#This Row],[Re-Datum]]&gt;0,MONTH(tb_rechnungen[[#This Row],[Re-Datum]]),"")</f>
        <v/>
      </c>
      <c r="P298" s="13">
        <f>IF(tb_rechnungen[[#This Row],[Re-Datum]]&gt;0,YEAR(tb_rechnungen[[#This Row],[Re-Datum]]),"")</f>
        <v/>
      </c>
      <c r="Q298" s="19">
        <f>IF(tb_rechnungen[[#This Row],[Brutto]]&lt;&gt;0,tb_rechnungen[[#This Row],[Brutto]]-tb_rechnungen[[#This Row],[Netto]],"")</f>
        <v/>
      </c>
      <c r="R298" s="37">
        <f>IF(tb_rechnungen[[#This Row],[Netto]]&lt;&gt;0,ROUND(tb_rechnungen[[#This Row],[Steuer]]/tb_rechnungen[[#This Row],[Netto]],2),"")</f>
        <v/>
      </c>
    </row>
    <row r="299" hidden="1">
      <c r="A299" s="26" t="n">
        <v>45972</v>
      </c>
      <c r="B299" s="27" t="inlineStr">
        <is>
          <t>KSEnergy (ebay)</t>
        </is>
      </c>
      <c r="C299" s="28" t="inlineStr">
        <is>
          <t>R2485805</t>
        </is>
      </c>
      <c r="D299" s="28" t="inlineStr">
        <is>
          <t>E</t>
        </is>
      </c>
      <c r="E299" s="27" t="inlineStr">
        <is>
          <t>Win10 Key</t>
        </is>
      </c>
      <c r="F299" s="29" t="n">
        <v>3.36</v>
      </c>
      <c r="G299" s="29" t="n">
        <v>4</v>
      </c>
      <c r="H299" s="30" t="inlineStr">
        <is>
          <t>X</t>
        </is>
      </c>
      <c r="I299" s="30" t="inlineStr">
        <is>
          <t>A</t>
        </is>
      </c>
      <c r="J299" s="31" t="inlineStr">
        <is>
          <t>M</t>
        </is>
      </c>
      <c r="K299" s="50" t="n"/>
      <c r="L299" s="50" t="n"/>
      <c r="M299" s="67" t="n"/>
      <c r="N299" s="30" t="n"/>
      <c r="O299" s="12">
        <f>IF(tb_rechnungen[[#This Row],[Re-Datum]]&gt;0,MONTH(tb_rechnungen[[#This Row],[Re-Datum]]),"")</f>
        <v/>
      </c>
      <c r="P299" s="13">
        <f>IF(tb_rechnungen[[#This Row],[Re-Datum]]&gt;0,YEAR(tb_rechnungen[[#This Row],[Re-Datum]]),"")</f>
        <v/>
      </c>
      <c r="Q299" s="19">
        <f>IF(tb_rechnungen[[#This Row],[Brutto]]&lt;&gt;0,tb_rechnungen[[#This Row],[Brutto]]-tb_rechnungen[[#This Row],[Netto]],"")</f>
        <v/>
      </c>
      <c r="R299" s="37">
        <f>IF(tb_rechnungen[[#This Row],[Netto]]&lt;&gt;0,ROUND(tb_rechnungen[[#This Row],[Steuer]]/tb_rechnungen[[#This Row],[Netto]],2),"")</f>
        <v/>
      </c>
    </row>
    <row r="300" hidden="1">
      <c r="A300" s="26" t="n">
        <v>45973</v>
      </c>
      <c r="B300" s="27" t="inlineStr">
        <is>
          <t>Systeam</t>
        </is>
      </c>
      <c r="C300" s="28" t="inlineStr">
        <is>
          <t>R50486480</t>
        </is>
      </c>
      <c r="D300" s="28" t="inlineStr">
        <is>
          <t>E</t>
        </is>
      </c>
      <c r="E300" s="27" t="inlineStr">
        <is>
          <t>Toner Gelb Oki C610</t>
        </is>
      </c>
      <c r="F300" s="29" t="n">
        <v>191.27</v>
      </c>
      <c r="G300" s="29" t="n">
        <v>227.61</v>
      </c>
      <c r="H300" s="30" t="inlineStr">
        <is>
          <t>X</t>
        </is>
      </c>
      <c r="I300" s="30" t="inlineStr">
        <is>
          <t>Z</t>
        </is>
      </c>
      <c r="J300" s="31" t="inlineStr">
        <is>
          <t>M</t>
        </is>
      </c>
      <c r="K300" s="50" t="n"/>
      <c r="L300" s="50" t="n"/>
      <c r="M300" s="67" t="n"/>
      <c r="N300" s="30" t="n"/>
      <c r="O300" s="12">
        <f>IF(tb_rechnungen[[#This Row],[Re-Datum]]&gt;0,MONTH(tb_rechnungen[[#This Row],[Re-Datum]]),"")</f>
        <v/>
      </c>
      <c r="P300" s="13">
        <f>IF(tb_rechnungen[[#This Row],[Re-Datum]]&gt;0,YEAR(tb_rechnungen[[#This Row],[Re-Datum]]),"")</f>
        <v/>
      </c>
      <c r="Q300" s="19">
        <f>IF(tb_rechnungen[[#This Row],[Brutto]]&lt;&gt;0,tb_rechnungen[[#This Row],[Brutto]]-tb_rechnungen[[#This Row],[Netto]],"")</f>
        <v/>
      </c>
      <c r="R300" s="37">
        <f>IF(tb_rechnungen[[#This Row],[Netto]]&lt;&gt;0,ROUND(tb_rechnungen[[#This Row],[Steuer]]/tb_rechnungen[[#This Row],[Netto]],2),"")</f>
        <v/>
      </c>
    </row>
    <row r="301" hidden="1">
      <c r="A301" s="26" t="n">
        <v>45973</v>
      </c>
      <c r="B301" s="27" t="inlineStr">
        <is>
          <t>Telekom</t>
        </is>
      </c>
      <c r="C301" s="28" t="inlineStr">
        <is>
          <t>35 2702 1300 0551</t>
        </is>
      </c>
      <c r="D301" s="28" t="inlineStr">
        <is>
          <t>K</t>
        </is>
      </c>
      <c r="E301" s="27" t="inlineStr">
        <is>
          <t>Schulze Mobil Oktober</t>
        </is>
      </c>
      <c r="F301" s="29" t="n">
        <v>12.56</v>
      </c>
      <c r="G301" s="29" t="n">
        <v>14.95</v>
      </c>
      <c r="H301" s="30" t="inlineStr">
        <is>
          <t>X</t>
        </is>
      </c>
      <c r="I301" s="30" t="inlineStr">
        <is>
          <t>A</t>
        </is>
      </c>
      <c r="J301" s="31" t="inlineStr">
        <is>
          <t>M</t>
        </is>
      </c>
      <c r="K301" s="50" t="n"/>
      <c r="L301" s="50" t="n"/>
      <c r="M301" s="67" t="n"/>
      <c r="N301" s="30" t="n"/>
      <c r="O301" s="12">
        <f>IF(tb_rechnungen[[#This Row],[Re-Datum]]&gt;0,MONTH(tb_rechnungen[[#This Row],[Re-Datum]]),"")</f>
        <v/>
      </c>
      <c r="P301" s="13">
        <f>IF(tb_rechnungen[[#This Row],[Re-Datum]]&gt;0,YEAR(tb_rechnungen[[#This Row],[Re-Datum]]),"")</f>
        <v/>
      </c>
      <c r="Q301" s="19">
        <f>IF(tb_rechnungen[[#This Row],[Brutto]]&lt;&gt;0,tb_rechnungen[[#This Row],[Brutto]]-tb_rechnungen[[#This Row],[Netto]],"")</f>
        <v/>
      </c>
      <c r="R301" s="37">
        <f>IF(tb_rechnungen[[#This Row],[Netto]]&lt;&gt;0,ROUND(tb_rechnungen[[#This Row],[Steuer]]/tb_rechnungen[[#This Row],[Netto]],2),"")</f>
        <v/>
      </c>
    </row>
    <row r="302" hidden="1">
      <c r="A302" s="26" t="n">
        <v>45974</v>
      </c>
      <c r="B302" s="27" t="inlineStr">
        <is>
          <t>Telekom</t>
        </is>
      </c>
      <c r="C302" s="28" t="inlineStr">
        <is>
          <t>788 684 4864</t>
        </is>
      </c>
      <c r="D302" s="28" t="inlineStr">
        <is>
          <t>K</t>
        </is>
      </c>
      <c r="E302" s="27" t="inlineStr">
        <is>
          <t>Schulze November</t>
        </is>
      </c>
      <c r="F302" s="29" t="n">
        <v>33.84</v>
      </c>
      <c r="G302" s="29" t="n">
        <v>40.27</v>
      </c>
      <c r="H302" s="30" t="inlineStr">
        <is>
          <t>X</t>
        </is>
      </c>
      <c r="I302" s="30" t="inlineStr">
        <is>
          <t>A</t>
        </is>
      </c>
      <c r="J302" s="31" t="inlineStr">
        <is>
          <t>M</t>
        </is>
      </c>
      <c r="K302" s="50" t="n"/>
      <c r="L302" s="50" t="n"/>
      <c r="M302" s="67" t="n"/>
      <c r="N302" s="30" t="n"/>
      <c r="O302" s="12">
        <f>IF(tb_rechnungen[[#This Row],[Re-Datum]]&gt;0,MONTH(tb_rechnungen[[#This Row],[Re-Datum]]),"")</f>
        <v/>
      </c>
      <c r="P302" s="13">
        <f>IF(tb_rechnungen[[#This Row],[Re-Datum]]&gt;0,YEAR(tb_rechnungen[[#This Row],[Re-Datum]]),"")</f>
        <v/>
      </c>
      <c r="Q302" s="19">
        <f>IF(tb_rechnungen[[#This Row],[Brutto]]&lt;&gt;0,tb_rechnungen[[#This Row],[Brutto]]-tb_rechnungen[[#This Row],[Netto]],"")</f>
        <v/>
      </c>
      <c r="R302" s="37">
        <f>IF(tb_rechnungen[[#This Row],[Netto]]&lt;&gt;0,ROUND(tb_rechnungen[[#This Row],[Steuer]]/tb_rechnungen[[#This Row],[Netto]],2),"")</f>
        <v/>
      </c>
    </row>
    <row r="303" hidden="1">
      <c r="A303" s="26" t="n">
        <v>45975</v>
      </c>
      <c r="B303" s="27" t="inlineStr">
        <is>
          <t>API</t>
        </is>
      </c>
      <c r="C303" s="28" t="inlineStr">
        <is>
          <t>R14516518</t>
        </is>
      </c>
      <c r="D303" s="28" t="inlineStr">
        <is>
          <t>E</t>
        </is>
      </c>
      <c r="E303" s="27" t="inlineStr">
        <is>
          <t>HP-Core-Pack 3 Jahre Notebook</t>
        </is>
      </c>
      <c r="F303" s="29" t="n">
        <v>55.68</v>
      </c>
      <c r="G303" s="29" t="n">
        <v>66.26000000000001</v>
      </c>
      <c r="H303" s="30" t="inlineStr">
        <is>
          <t>X</t>
        </is>
      </c>
      <c r="I303" s="30" t="inlineStr">
        <is>
          <t>Z</t>
        </is>
      </c>
      <c r="J303" s="31" t="inlineStr">
        <is>
          <t>M</t>
        </is>
      </c>
      <c r="K303" s="50" t="n"/>
      <c r="L303" s="50" t="n"/>
      <c r="M303" s="67" t="n"/>
      <c r="N303" s="30" t="n"/>
      <c r="O303" s="12">
        <f>IF(tb_rechnungen[[#This Row],[Re-Datum]]&gt;0,MONTH(tb_rechnungen[[#This Row],[Re-Datum]]),"")</f>
        <v/>
      </c>
      <c r="P303" s="13">
        <f>IF(tb_rechnungen[[#This Row],[Re-Datum]]&gt;0,YEAR(tb_rechnungen[[#This Row],[Re-Datum]]),"")</f>
        <v/>
      </c>
      <c r="Q303" s="19">
        <f>IF(tb_rechnungen[[#This Row],[Brutto]]&lt;&gt;0,tb_rechnungen[[#This Row],[Brutto]]-tb_rechnungen[[#This Row],[Netto]],"")</f>
        <v/>
      </c>
      <c r="R303" s="37">
        <f>IF(tb_rechnungen[[#This Row],[Netto]]&lt;&gt;0,ROUND(tb_rechnungen[[#This Row],[Steuer]]/tb_rechnungen[[#This Row],[Netto]],2),"")</f>
        <v/>
      </c>
    </row>
    <row r="304" hidden="1">
      <c r="A304" s="26" t="n">
        <v>45975</v>
      </c>
      <c r="B304" s="27" t="inlineStr">
        <is>
          <t>Sage</t>
        </is>
      </c>
      <c r="C304" s="28" t="inlineStr">
        <is>
          <t>2026-1028255</t>
        </is>
      </c>
      <c r="D304" s="28" t="inlineStr">
        <is>
          <t>K</t>
        </is>
      </c>
      <c r="E304" s="27" t="inlineStr">
        <is>
          <t>Sage HR Cloud 2 MA</t>
        </is>
      </c>
      <c r="F304" s="29" t="n">
        <v>15.5</v>
      </c>
      <c r="G304" s="29" t="n">
        <v>18.45</v>
      </c>
      <c r="H304" s="30" t="inlineStr">
        <is>
          <t>X</t>
        </is>
      </c>
      <c r="I304" s="30" t="inlineStr">
        <is>
          <t>A</t>
        </is>
      </c>
      <c r="J304" s="31" t="inlineStr">
        <is>
          <t>M</t>
        </is>
      </c>
      <c r="K304" s="50" t="n"/>
      <c r="L304" s="50" t="n"/>
      <c r="M304" s="67" t="n"/>
      <c r="N304" s="30" t="n"/>
      <c r="O304" s="12">
        <f>IF(tb_rechnungen[[#This Row],[Re-Datum]]&gt;0,MONTH(tb_rechnungen[[#This Row],[Re-Datum]]),"")</f>
        <v/>
      </c>
      <c r="P304" s="13">
        <f>IF(tb_rechnungen[[#This Row],[Re-Datum]]&gt;0,YEAR(tb_rechnungen[[#This Row],[Re-Datum]]),"")</f>
        <v/>
      </c>
      <c r="Q304" s="19">
        <f>IF(tb_rechnungen[[#This Row],[Brutto]]&lt;&gt;0,tb_rechnungen[[#This Row],[Brutto]]-tb_rechnungen[[#This Row],[Netto]],"")</f>
        <v/>
      </c>
      <c r="R304" s="37">
        <f>IF(tb_rechnungen[[#This Row],[Netto]]&lt;&gt;0,ROUND(tb_rechnungen[[#This Row],[Steuer]]/tb_rechnungen[[#This Row],[Netto]],2),"")</f>
        <v/>
      </c>
    </row>
    <row r="305" hidden="1">
      <c r="A305" s="26" t="n">
        <v>45975</v>
      </c>
      <c r="B305" s="27" t="inlineStr">
        <is>
          <t>Blau</t>
        </is>
      </c>
      <c r="C305" s="28" t="inlineStr">
        <is>
          <t>1407303210/08</t>
        </is>
      </c>
      <c r="D305" s="28" t="inlineStr">
        <is>
          <t>K</t>
        </is>
      </c>
      <c r="E305" s="27" t="inlineStr">
        <is>
          <t>Umstellung 5G</t>
        </is>
      </c>
      <c r="F305" s="29" t="n">
        <v>6.93</v>
      </c>
      <c r="G305" s="29" t="n">
        <v>8.25</v>
      </c>
      <c r="H305" s="30" t="inlineStr">
        <is>
          <t>X</t>
        </is>
      </c>
      <c r="I305" s="30" t="inlineStr">
        <is>
          <t>A</t>
        </is>
      </c>
      <c r="J305" s="31" t="inlineStr">
        <is>
          <t>M</t>
        </is>
      </c>
      <c r="K305" s="50" t="n"/>
      <c r="L305" s="50" t="n"/>
      <c r="M305" s="67" t="n"/>
      <c r="N305" s="30" t="n"/>
      <c r="O305" s="12">
        <f>IF(tb_rechnungen[[#This Row],[Re-Datum]]&gt;0,MONTH(tb_rechnungen[[#This Row],[Re-Datum]]),"")</f>
        <v/>
      </c>
      <c r="P305" s="13">
        <f>IF(tb_rechnungen[[#This Row],[Re-Datum]]&gt;0,YEAR(tb_rechnungen[[#This Row],[Re-Datum]]),"")</f>
        <v/>
      </c>
      <c r="Q305" s="19">
        <f>IF(tb_rechnungen[[#This Row],[Brutto]]&lt;&gt;0,tb_rechnungen[[#This Row],[Brutto]]-tb_rechnungen[[#This Row],[Netto]],"")</f>
        <v/>
      </c>
      <c r="R305" s="37">
        <f>IF(tb_rechnungen[[#This Row],[Netto]]&lt;&gt;0,ROUND(tb_rechnungen[[#This Row],[Steuer]]/tb_rechnungen[[#This Row],[Netto]],2),"")</f>
        <v/>
      </c>
    </row>
    <row r="306" hidden="1">
      <c r="A306" s="26" t="n">
        <v>45976</v>
      </c>
      <c r="B306" s="27" t="inlineStr">
        <is>
          <t>GEZ</t>
        </is>
      </c>
      <c r="C306" s="28" t="inlineStr">
        <is>
          <t>Q1/2025</t>
        </is>
      </c>
      <c r="D306" s="28" t="inlineStr">
        <is>
          <t>K</t>
        </is>
      </c>
      <c r="E306" s="27" t="inlineStr">
        <is>
          <t xml:space="preserve">Rundfunkbeitrag </t>
        </is>
      </c>
      <c r="F306" s="29" t="n">
        <v>91.8</v>
      </c>
      <c r="G306" s="29" t="n">
        <v>91.8</v>
      </c>
      <c r="H306" s="30" t="inlineStr">
        <is>
          <t>X</t>
        </is>
      </c>
      <c r="I306" s="30" t="inlineStr">
        <is>
          <t>A</t>
        </is>
      </c>
      <c r="J306" s="30" t="inlineStr">
        <is>
          <t>M</t>
        </is>
      </c>
      <c r="K306" s="50" t="n"/>
      <c r="L306" s="50" t="n"/>
      <c r="M306" s="67" t="n"/>
      <c r="N306" s="30" t="n"/>
      <c r="O306" s="12">
        <f>IF(tb_rechnungen[[#This Row],[Re-Datum]]&gt;0,MONTH(tb_rechnungen[[#This Row],[Re-Datum]]),"")</f>
        <v/>
      </c>
      <c r="P306" s="13">
        <f>IF(tb_rechnungen[[#This Row],[Re-Datum]]&gt;0,YEAR(tb_rechnungen[[#This Row],[Re-Datum]]),"")</f>
        <v/>
      </c>
      <c r="Q306" s="19">
        <f>IF(tb_rechnungen[[#This Row],[Brutto]]&lt;&gt;0,tb_rechnungen[[#This Row],[Brutto]]-tb_rechnungen[[#This Row],[Netto]],"")</f>
        <v/>
      </c>
      <c r="R306" s="37">
        <f>IF(tb_rechnungen[[#This Row],[Netto]]&lt;&gt;0,ROUND(tb_rechnungen[[#This Row],[Steuer]]/tb_rechnungen[[#This Row],[Netto]],2),"")</f>
        <v/>
      </c>
    </row>
    <row r="307" hidden="1">
      <c r="A307" s="26" t="n">
        <v>45978</v>
      </c>
      <c r="B307" s="27" t="inlineStr">
        <is>
          <t>Wolkesicher</t>
        </is>
      </c>
      <c r="C307" s="28" t="inlineStr">
        <is>
          <t>R403152</t>
        </is>
      </c>
      <c r="D307" s="28" t="inlineStr">
        <is>
          <t>K</t>
        </is>
      </c>
      <c r="E307" s="27" t="inlineStr">
        <is>
          <t>Dezember</t>
        </is>
      </c>
      <c r="F307" s="29" t="n">
        <v>4.19</v>
      </c>
      <c r="G307" s="29" t="n">
        <v>4.99</v>
      </c>
      <c r="H307" s="30" t="inlineStr">
        <is>
          <t>X</t>
        </is>
      </c>
      <c r="I307" s="30" t="inlineStr">
        <is>
          <t>A</t>
        </is>
      </c>
      <c r="J307" s="31" t="inlineStr">
        <is>
          <t>M</t>
        </is>
      </c>
      <c r="K307" s="50" t="n"/>
      <c r="L307" s="50" t="n"/>
      <c r="M307" s="67" t="n"/>
      <c r="N307" s="30" t="n"/>
      <c r="O307" s="12">
        <f>IF(tb_rechnungen[[#This Row],[Re-Datum]]&gt;0,MONTH(tb_rechnungen[[#This Row],[Re-Datum]]),"")</f>
        <v/>
      </c>
      <c r="P307" s="13">
        <f>IF(tb_rechnungen[[#This Row],[Re-Datum]]&gt;0,YEAR(tb_rechnungen[[#This Row],[Re-Datum]]),"")</f>
        <v/>
      </c>
      <c r="Q307" s="19">
        <f>IF(tb_rechnungen[[#This Row],[Brutto]]&lt;&gt;0,tb_rechnungen[[#This Row],[Brutto]]-tb_rechnungen[[#This Row],[Netto]],"")</f>
        <v/>
      </c>
      <c r="R307" s="37">
        <f>IF(tb_rechnungen[[#This Row],[Netto]]&lt;&gt;0,ROUND(tb_rechnungen[[#This Row],[Steuer]]/tb_rechnungen[[#This Row],[Netto]],2),"")</f>
        <v/>
      </c>
    </row>
    <row r="308" hidden="1">
      <c r="A308" s="26" t="n">
        <v>45978</v>
      </c>
      <c r="B308" s="27" t="inlineStr">
        <is>
          <t>IngramMicro</t>
        </is>
      </c>
      <c r="C308" s="28" t="inlineStr">
        <is>
          <t>44-3247972</t>
        </is>
      </c>
      <c r="D308" s="28" t="inlineStr">
        <is>
          <t>E</t>
        </is>
      </c>
      <c r="E308" s="27" t="inlineStr">
        <is>
          <t>SUSE Subskription</t>
        </is>
      </c>
      <c r="F308" s="29" t="n">
        <v>248.98</v>
      </c>
      <c r="G308" s="29" t="n">
        <v>296.29</v>
      </c>
      <c r="H308" s="30" t="inlineStr">
        <is>
          <t>X</t>
        </is>
      </c>
      <c r="I308" s="30" t="inlineStr">
        <is>
          <t>Z</t>
        </is>
      </c>
      <c r="J308" s="31" t="inlineStr">
        <is>
          <t>M</t>
        </is>
      </c>
      <c r="K308" s="50" t="n"/>
      <c r="L308" s="50" t="n"/>
      <c r="M308" s="67" t="n"/>
      <c r="N308" s="30" t="n"/>
      <c r="O308" s="12">
        <f>IF(tb_rechnungen[[#This Row],[Re-Datum]]&gt;0,MONTH(tb_rechnungen[[#This Row],[Re-Datum]]),"")</f>
        <v/>
      </c>
      <c r="P308" s="13">
        <f>IF(tb_rechnungen[[#This Row],[Re-Datum]]&gt;0,YEAR(tb_rechnungen[[#This Row],[Re-Datum]]),"")</f>
        <v/>
      </c>
      <c r="Q308" s="19">
        <f>IF(tb_rechnungen[[#This Row],[Brutto]]&lt;&gt;0,tb_rechnungen[[#This Row],[Brutto]]-tb_rechnungen[[#This Row],[Netto]],"")</f>
        <v/>
      </c>
      <c r="R308" s="37">
        <f>IF(tb_rechnungen[[#This Row],[Netto]]&lt;&gt;0,ROUND(tb_rechnungen[[#This Row],[Steuer]]/tb_rechnungen[[#This Row],[Netto]],2),"")</f>
        <v/>
      </c>
    </row>
    <row r="309" hidden="1">
      <c r="A309" s="26" t="n">
        <v>45978</v>
      </c>
      <c r="B309" s="27" t="inlineStr">
        <is>
          <t>Anthropic</t>
        </is>
      </c>
      <c r="C309" s="28" t="inlineStr">
        <is>
          <t>JOH4P0JW-0001</t>
        </is>
      </c>
      <c r="D309" s="28" t="inlineStr">
        <is>
          <t>K</t>
        </is>
      </c>
      <c r="E309" s="27" t="inlineStr">
        <is>
          <t>Claude.AI</t>
        </is>
      </c>
      <c r="F309" s="29" t="n">
        <v>18</v>
      </c>
      <c r="G309" s="29" t="n">
        <v>18</v>
      </c>
      <c r="H309" s="30" t="inlineStr">
        <is>
          <t>X</t>
        </is>
      </c>
      <c r="I309" s="30" t="inlineStr">
        <is>
          <t>A</t>
        </is>
      </c>
      <c r="J309" s="31" t="inlineStr">
        <is>
          <t>M</t>
        </is>
      </c>
      <c r="K309" s="50" t="n"/>
      <c r="L309" s="50" t="n"/>
      <c r="M309" s="67" t="n"/>
      <c r="N309" s="30" t="inlineStr">
        <is>
          <t>FX</t>
        </is>
      </c>
      <c r="O309" s="12">
        <f>IF(tb_rechnungen[[#This Row],[Re-Datum]]&gt;0,MONTH(tb_rechnungen[[#This Row],[Re-Datum]]),"")</f>
        <v/>
      </c>
      <c r="P309" s="13">
        <f>IF(tb_rechnungen[[#This Row],[Re-Datum]]&gt;0,YEAR(tb_rechnungen[[#This Row],[Re-Datum]]),"")</f>
        <v/>
      </c>
      <c r="Q309" s="19">
        <f>IF(tb_rechnungen[[#This Row],[Brutto]]&lt;&gt;0,tb_rechnungen[[#This Row],[Brutto]]-tb_rechnungen[[#This Row],[Netto]],"")</f>
        <v/>
      </c>
      <c r="R309" s="37">
        <f>IF(tb_rechnungen[[#This Row],[Netto]]&lt;&gt;0,ROUND(tb_rechnungen[[#This Row],[Steuer]]/tb_rechnungen[[#This Row],[Netto]],2),"")</f>
        <v/>
      </c>
    </row>
    <row r="310" hidden="1">
      <c r="A310" s="26" t="n">
        <v>45979</v>
      </c>
      <c r="B310" s="27" t="inlineStr">
        <is>
          <t>Telekom</t>
        </is>
      </c>
      <c r="C310" s="28" t="inlineStr">
        <is>
          <t>R7889593750</t>
        </is>
      </c>
      <c r="D310" s="28" t="inlineStr">
        <is>
          <t>K</t>
        </is>
      </c>
      <c r="E310" s="27" t="inlineStr">
        <is>
          <t>LU November</t>
        </is>
      </c>
      <c r="F310" s="29" t="n">
        <v>37.77</v>
      </c>
      <c r="G310" s="29" t="n">
        <v>44.95</v>
      </c>
      <c r="H310" s="30" t="inlineStr">
        <is>
          <t>X</t>
        </is>
      </c>
      <c r="I310" s="30" t="inlineStr">
        <is>
          <t>A</t>
        </is>
      </c>
      <c r="J310" s="31" t="inlineStr">
        <is>
          <t>M</t>
        </is>
      </c>
      <c r="K310" s="50" t="n"/>
      <c r="L310" s="50" t="n"/>
      <c r="M310" s="67" t="n"/>
      <c r="N310" s="30" t="n"/>
      <c r="O310" s="12">
        <f>IF(tb_rechnungen[[#This Row],[Re-Datum]]&gt;0,MONTH(tb_rechnungen[[#This Row],[Re-Datum]]),"")</f>
        <v/>
      </c>
      <c r="P310" s="13">
        <f>IF(tb_rechnungen[[#This Row],[Re-Datum]]&gt;0,YEAR(tb_rechnungen[[#This Row],[Re-Datum]]),"")</f>
        <v/>
      </c>
      <c r="Q310" s="19">
        <f>IF(tb_rechnungen[[#This Row],[Brutto]]&lt;&gt;0,tb_rechnungen[[#This Row],[Brutto]]-tb_rechnungen[[#This Row],[Netto]],"")</f>
        <v/>
      </c>
      <c r="R310" s="37">
        <f>IF(tb_rechnungen[[#This Row],[Netto]]&lt;&gt;0,ROUND(tb_rechnungen[[#This Row],[Steuer]]/tb_rechnungen[[#This Row],[Netto]],2),"")</f>
        <v/>
      </c>
    </row>
    <row r="311" hidden="1">
      <c r="A311" s="26" t="n">
        <v>45976</v>
      </c>
      <c r="B311" s="27" t="inlineStr">
        <is>
          <t>DKV</t>
        </is>
      </c>
      <c r="C311" s="28" t="inlineStr">
        <is>
          <t>25-647698769-001</t>
        </is>
      </c>
      <c r="D311" s="28" t="inlineStr">
        <is>
          <t>K</t>
        </is>
      </c>
      <c r="E311" s="27" t="inlineStr">
        <is>
          <t>November</t>
        </is>
      </c>
      <c r="F311" s="29" t="n">
        <v>198.23</v>
      </c>
      <c r="G311" s="29" t="n">
        <v>235.89</v>
      </c>
      <c r="H311" s="30" t="inlineStr">
        <is>
          <t>X</t>
        </is>
      </c>
      <c r="I311" s="30" t="inlineStr">
        <is>
          <t>A</t>
        </is>
      </c>
      <c r="J311" s="31" t="inlineStr">
        <is>
          <t>M</t>
        </is>
      </c>
      <c r="K311" s="50" t="n"/>
      <c r="L311" s="50" t="n"/>
      <c r="M311" s="67" t="n"/>
      <c r="N311" s="30" t="n"/>
      <c r="O311" s="12">
        <f>IF(tb_rechnungen[[#This Row],[Re-Datum]]&gt;0,MONTH(tb_rechnungen[[#This Row],[Re-Datum]]),"")</f>
        <v/>
      </c>
      <c r="P311" s="13">
        <f>IF(tb_rechnungen[[#This Row],[Re-Datum]]&gt;0,YEAR(tb_rechnungen[[#This Row],[Re-Datum]]),"")</f>
        <v/>
      </c>
      <c r="Q311" s="19">
        <f>IF(tb_rechnungen[[#This Row],[Brutto]]&lt;&gt;0,tb_rechnungen[[#This Row],[Brutto]]-tb_rechnungen[[#This Row],[Netto]],"")</f>
        <v/>
      </c>
      <c r="R311" s="37">
        <f>IF(tb_rechnungen[[#This Row],[Netto]]&lt;&gt;0,ROUND(tb_rechnungen[[#This Row],[Steuer]]/tb_rechnungen[[#This Row],[Netto]],2),"")</f>
        <v/>
      </c>
    </row>
    <row r="312" hidden="1">
      <c r="A312" s="26" t="n">
        <v>45985</v>
      </c>
      <c r="B312" s="27" t="inlineStr">
        <is>
          <t>MH Bensheim</t>
        </is>
      </c>
      <c r="C312" s="28" t="inlineStr">
        <is>
          <t>R0019043</t>
        </is>
      </c>
      <c r="D312" s="28" t="inlineStr">
        <is>
          <t>K</t>
        </is>
      </c>
      <c r="E312" s="27" t="inlineStr">
        <is>
          <t>Radwechsel+Einlagerung Sommer LU UH 400</t>
        </is>
      </c>
      <c r="F312" s="29" t="n">
        <v>95.8</v>
      </c>
      <c r="G312" s="29" t="n">
        <v>114</v>
      </c>
      <c r="H312" s="30" t="inlineStr">
        <is>
          <t>X</t>
        </is>
      </c>
      <c r="I312" s="30" t="inlineStr">
        <is>
          <t>Z</t>
        </is>
      </c>
      <c r="J312" s="31" t="inlineStr">
        <is>
          <t>M</t>
        </is>
      </c>
      <c r="K312" s="50" t="n"/>
      <c r="L312" s="50" t="n"/>
      <c r="M312" s="67" t="n"/>
      <c r="N312" s="30" t="n"/>
      <c r="O312" s="12">
        <f>IF(tb_rechnungen[[#This Row],[Re-Datum]]&gt;0,MONTH(tb_rechnungen[[#This Row],[Re-Datum]]),"")</f>
        <v/>
      </c>
      <c r="P312" s="13">
        <f>IF(tb_rechnungen[[#This Row],[Re-Datum]]&gt;0,YEAR(tb_rechnungen[[#This Row],[Re-Datum]]),"")</f>
        <v/>
      </c>
      <c r="Q312" s="19">
        <f>IF(tb_rechnungen[[#This Row],[Brutto]]&lt;&gt;0,tb_rechnungen[[#This Row],[Brutto]]-tb_rechnungen[[#This Row],[Netto]],"")</f>
        <v/>
      </c>
      <c r="R312" s="37">
        <f>IF(tb_rechnungen[[#This Row],[Netto]]&lt;&gt;0,ROUND(tb_rechnungen[[#This Row],[Steuer]]/tb_rechnungen[[#This Row],[Netto]],2),"")</f>
        <v/>
      </c>
    </row>
    <row r="313" hidden="1">
      <c r="A313" s="26" t="n">
        <v>45985</v>
      </c>
      <c r="B313" s="27" t="inlineStr">
        <is>
          <t>Anthropic</t>
        </is>
      </c>
      <c r="C313" s="28" t="inlineStr">
        <is>
          <t>JOH4P9JW-0002</t>
        </is>
      </c>
      <c r="D313" s="28" t="inlineStr">
        <is>
          <t>K</t>
        </is>
      </c>
      <c r="E313" s="27" t="inlineStr">
        <is>
          <t>Zusatzvolumen Claude.ai</t>
        </is>
      </c>
      <c r="F313" s="29" t="n">
        <v>5</v>
      </c>
      <c r="G313" s="29" t="n">
        <v>5</v>
      </c>
      <c r="H313" s="30" t="inlineStr">
        <is>
          <t>X</t>
        </is>
      </c>
      <c r="I313" s="30" t="inlineStr">
        <is>
          <t>A</t>
        </is>
      </c>
      <c r="J313" s="31" t="inlineStr">
        <is>
          <t>M</t>
        </is>
      </c>
      <c r="K313" s="50" t="n"/>
      <c r="L313" s="50" t="n"/>
      <c r="M313" s="67" t="n"/>
      <c r="N313" s="30" t="inlineStr">
        <is>
          <t>FX</t>
        </is>
      </c>
      <c r="O313" s="12">
        <f>IF(tb_rechnungen[[#This Row],[Re-Datum]]&gt;0,MONTH(tb_rechnungen[[#This Row],[Re-Datum]]),"")</f>
        <v/>
      </c>
      <c r="P313" s="13">
        <f>IF(tb_rechnungen[[#This Row],[Re-Datum]]&gt;0,YEAR(tb_rechnungen[[#This Row],[Re-Datum]]),"")</f>
        <v/>
      </c>
      <c r="Q313" s="19">
        <f>IF(tb_rechnungen[[#This Row],[Brutto]]&lt;&gt;0,tb_rechnungen[[#This Row],[Brutto]]-tb_rechnungen[[#This Row],[Netto]],"")</f>
        <v/>
      </c>
      <c r="R313" s="37">
        <f>IF(tb_rechnungen[[#This Row],[Netto]]&lt;&gt;0,ROUND(tb_rechnungen[[#This Row],[Steuer]]/tb_rechnungen[[#This Row],[Netto]],2),"")</f>
        <v/>
      </c>
    </row>
    <row r="314" hidden="1">
      <c r="A314" s="26" t="n">
        <v>45986</v>
      </c>
      <c r="B314" s="27" t="inlineStr">
        <is>
          <t>Telekom</t>
        </is>
      </c>
      <c r="C314" s="28" t="inlineStr">
        <is>
          <t>R7893416597</t>
        </is>
      </c>
      <c r="D314" s="28" t="inlineStr">
        <is>
          <t>K</t>
        </is>
      </c>
      <c r="E314" s="27" t="inlineStr">
        <is>
          <t>Dezember LU</t>
        </is>
      </c>
      <c r="F314" s="29" t="n">
        <v>39.9</v>
      </c>
      <c r="G314" s="29" t="n">
        <v>47.48</v>
      </c>
      <c r="H314" s="30" t="inlineStr">
        <is>
          <t>X</t>
        </is>
      </c>
      <c r="I314" s="30" t="inlineStr">
        <is>
          <t>A</t>
        </is>
      </c>
      <c r="J314" s="31" t="inlineStr">
        <is>
          <t>M</t>
        </is>
      </c>
      <c r="K314" s="50" t="n"/>
      <c r="L314" s="50" t="n"/>
      <c r="M314" s="67" t="n"/>
      <c r="N314" s="30" t="n"/>
      <c r="O314" s="12">
        <f>IF(tb_rechnungen[[#This Row],[Re-Datum]]&gt;0,MONTH(tb_rechnungen[[#This Row],[Re-Datum]]),"")</f>
        <v/>
      </c>
      <c r="P314" s="13">
        <f>IF(tb_rechnungen[[#This Row],[Re-Datum]]&gt;0,YEAR(tb_rechnungen[[#This Row],[Re-Datum]]),"")</f>
        <v/>
      </c>
      <c r="Q314" s="19">
        <f>IF(tb_rechnungen[[#This Row],[Brutto]]&lt;&gt;0,tb_rechnungen[[#This Row],[Brutto]]-tb_rechnungen[[#This Row],[Netto]],"")</f>
        <v/>
      </c>
      <c r="R314" s="37">
        <f>IF(tb_rechnungen[[#This Row],[Netto]]&lt;&gt;0,ROUND(tb_rechnungen[[#This Row],[Steuer]]/tb_rechnungen[[#This Row],[Netto]],2),"")</f>
        <v/>
      </c>
    </row>
    <row r="315" hidden="1">
      <c r="A315" s="26" t="n">
        <v>45986</v>
      </c>
      <c r="B315" s="27" t="inlineStr">
        <is>
          <t>TDSynex</t>
        </is>
      </c>
      <c r="C315" s="28" t="inlineStr">
        <is>
          <t>R8276697644</t>
        </is>
      </c>
      <c r="D315" s="28" t="inlineStr">
        <is>
          <t>E</t>
        </is>
      </c>
      <c r="E315" s="27" t="inlineStr">
        <is>
          <t>2 PCs  Hauck</t>
        </is>
      </c>
      <c r="F315" s="29" t="n">
        <v>1412.71</v>
      </c>
      <c r="G315" s="29" t="n">
        <v>1681.16</v>
      </c>
      <c r="H315" s="30" t="inlineStr">
        <is>
          <t>X</t>
        </is>
      </c>
      <c r="I315" s="30" t="inlineStr">
        <is>
          <t>Z</t>
        </is>
      </c>
      <c r="J315" s="31" t="inlineStr">
        <is>
          <t>M</t>
        </is>
      </c>
      <c r="K315" s="50" t="n"/>
      <c r="L315" s="50" t="n"/>
      <c r="M315" s="67" t="n"/>
      <c r="N315" s="30" t="n"/>
      <c r="O315" s="12">
        <f>IF(tb_rechnungen[[#This Row],[Re-Datum]]&gt;0,MONTH(tb_rechnungen[[#This Row],[Re-Datum]]),"")</f>
        <v/>
      </c>
      <c r="P315" s="13">
        <f>IF(tb_rechnungen[[#This Row],[Re-Datum]]&gt;0,YEAR(tb_rechnungen[[#This Row],[Re-Datum]]),"")</f>
        <v/>
      </c>
      <c r="Q315" s="19">
        <f>IF(tb_rechnungen[[#This Row],[Brutto]]&lt;&gt;0,tb_rechnungen[[#This Row],[Brutto]]-tb_rechnungen[[#This Row],[Netto]],"")</f>
        <v/>
      </c>
      <c r="R315" s="37">
        <f>IF(tb_rechnungen[[#This Row],[Netto]]&lt;&gt;0,ROUND(tb_rechnungen[[#This Row],[Steuer]]/tb_rechnungen[[#This Row],[Netto]],2),"")</f>
        <v/>
      </c>
    </row>
    <row r="316" hidden="1">
      <c r="A316" s="26" t="n">
        <v>45981</v>
      </c>
      <c r="B316" s="27" t="inlineStr">
        <is>
          <t>HUK24</t>
        </is>
      </c>
      <c r="C316" s="28" t="inlineStr">
        <is>
          <t>660/584012-Q</t>
        </is>
      </c>
      <c r="D316" s="28" t="inlineStr">
        <is>
          <t>K</t>
        </is>
      </c>
      <c r="E316" s="27" t="inlineStr">
        <is>
          <t>LU UH400 2026</t>
        </is>
      </c>
      <c r="F316" s="29" t="n">
        <v>1502.92</v>
      </c>
      <c r="G316" s="29" t="n">
        <v>1502.92</v>
      </c>
      <c r="H316" s="30" t="inlineStr">
        <is>
          <t>EX</t>
        </is>
      </c>
      <c r="I316" s="30" t="inlineStr">
        <is>
          <t>A</t>
        </is>
      </c>
      <c r="J316" s="31" t="inlineStr">
        <is>
          <t>M</t>
        </is>
      </c>
      <c r="K316" s="50" t="n">
        <v>46024</v>
      </c>
      <c r="L316" s="50" t="n"/>
      <c r="M316" s="67" t="n"/>
      <c r="N316" s="30" t="n"/>
      <c r="O316" s="12">
        <f>IF(tb_rechnungen[[#This Row],[Re-Datum]]&gt;0,MONTH(tb_rechnungen[[#This Row],[Re-Datum]]),"")</f>
        <v/>
      </c>
      <c r="P316" s="13">
        <f>IF(tb_rechnungen[[#This Row],[Re-Datum]]&gt;0,YEAR(tb_rechnungen[[#This Row],[Re-Datum]]),"")</f>
        <v/>
      </c>
      <c r="Q316" s="19">
        <f>IF(tb_rechnungen[[#This Row],[Brutto]]&lt;&gt;0,tb_rechnungen[[#This Row],[Brutto]]-tb_rechnungen[[#This Row],[Netto]],"")</f>
        <v/>
      </c>
      <c r="R316" s="37">
        <f>IF(tb_rechnungen[[#This Row],[Netto]]&lt;&gt;0,ROUND(tb_rechnungen[[#This Row],[Steuer]]/tb_rechnungen[[#This Row],[Netto]],2),"")</f>
        <v/>
      </c>
    </row>
    <row r="317" hidden="1">
      <c r="A317" s="26" t="n">
        <v>45981</v>
      </c>
      <c r="B317" s="27" t="inlineStr">
        <is>
          <t>HUK24</t>
        </is>
      </c>
      <c r="C317" s="28" t="inlineStr">
        <is>
          <t>661/238366-U</t>
        </is>
      </c>
      <c r="D317" s="28" t="inlineStr">
        <is>
          <t>K</t>
        </is>
      </c>
      <c r="E317" s="27" t="inlineStr">
        <is>
          <t>LU UH200 2026</t>
        </is>
      </c>
      <c r="F317" s="29" t="n">
        <v>726.65</v>
      </c>
      <c r="G317" s="29" t="n">
        <v>726.65</v>
      </c>
      <c r="H317" s="30" t="inlineStr">
        <is>
          <t>EX</t>
        </is>
      </c>
      <c r="I317" s="30" t="inlineStr">
        <is>
          <t>A</t>
        </is>
      </c>
      <c r="J317" s="31" t="inlineStr">
        <is>
          <t>M</t>
        </is>
      </c>
      <c r="K317" s="50" t="n">
        <v>46024</v>
      </c>
      <c r="L317" s="50" t="n"/>
      <c r="M317" s="67" t="n"/>
      <c r="N317" s="30" t="n"/>
      <c r="O317" s="12">
        <f>IF(tb_rechnungen[[#This Row],[Re-Datum]]&gt;0,MONTH(tb_rechnungen[[#This Row],[Re-Datum]]),"")</f>
        <v/>
      </c>
      <c r="P317" s="13">
        <f>IF(tb_rechnungen[[#This Row],[Re-Datum]]&gt;0,YEAR(tb_rechnungen[[#This Row],[Re-Datum]]),"")</f>
        <v/>
      </c>
      <c r="Q317" s="19">
        <f>IF(tb_rechnungen[[#This Row],[Brutto]]&lt;&gt;0,tb_rechnungen[[#This Row],[Brutto]]-tb_rechnungen[[#This Row],[Netto]],"")</f>
        <v/>
      </c>
      <c r="R317" s="37">
        <f>IF(tb_rechnungen[[#This Row],[Netto]]&lt;&gt;0,ROUND(tb_rechnungen[[#This Row],[Steuer]]/tb_rechnungen[[#This Row],[Netto]],2),"")</f>
        <v/>
      </c>
    </row>
    <row r="318" hidden="1">
      <c r="A318" s="26" t="n">
        <v>45986</v>
      </c>
      <c r="B318" s="27" t="inlineStr">
        <is>
          <t>TDSynex</t>
        </is>
      </c>
      <c r="C318" s="28" t="inlineStr">
        <is>
          <t>R8276733754</t>
        </is>
      </c>
      <c r="D318" s="28" t="inlineStr">
        <is>
          <t>E</t>
        </is>
      </c>
      <c r="E318" s="27" t="inlineStr">
        <is>
          <t>Veeam-Wartung 3 Jahre WFB</t>
        </is>
      </c>
      <c r="F318" s="29" t="n">
        <v>5463.9</v>
      </c>
      <c r="G318" s="29" t="n">
        <v>6502.04</v>
      </c>
      <c r="H318" s="30" t="inlineStr">
        <is>
          <t>X</t>
        </is>
      </c>
      <c r="I318" s="30" t="inlineStr">
        <is>
          <t>Z</t>
        </is>
      </c>
      <c r="J318" s="31" t="inlineStr">
        <is>
          <t>M</t>
        </is>
      </c>
      <c r="K318" s="50" t="n"/>
      <c r="L318" s="50" t="n"/>
      <c r="M318" s="67" t="n"/>
      <c r="N318" s="30" t="n"/>
      <c r="O318" s="12">
        <f>IF(tb_rechnungen[[#This Row],[Re-Datum]]&gt;0,MONTH(tb_rechnungen[[#This Row],[Re-Datum]]),"")</f>
        <v/>
      </c>
      <c r="P318" s="13">
        <f>IF(tb_rechnungen[[#This Row],[Re-Datum]]&gt;0,YEAR(tb_rechnungen[[#This Row],[Re-Datum]]),"")</f>
        <v/>
      </c>
      <c r="Q318" s="19">
        <f>IF(tb_rechnungen[[#This Row],[Brutto]]&lt;&gt;0,tb_rechnungen[[#This Row],[Brutto]]-tb_rechnungen[[#This Row],[Netto]],"")</f>
        <v/>
      </c>
      <c r="R318" s="37">
        <f>IF(tb_rechnungen[[#This Row],[Netto]]&lt;&gt;0,ROUND(tb_rechnungen[[#This Row],[Steuer]]/tb_rechnungen[[#This Row],[Netto]],2),"")</f>
        <v/>
      </c>
    </row>
    <row r="319" hidden="1">
      <c r="A319" s="26" t="n">
        <v>45991</v>
      </c>
      <c r="B319" s="27" t="inlineStr">
        <is>
          <t>DTS NFON</t>
        </is>
      </c>
      <c r="C319" s="28" t="inlineStr">
        <is>
          <t>25-23-128062</t>
        </is>
      </c>
      <c r="D319" s="28" t="inlineStr">
        <is>
          <t>K</t>
        </is>
      </c>
      <c r="E319" s="27" t="inlineStr">
        <is>
          <t>November</t>
        </is>
      </c>
      <c r="F319" s="29" t="n">
        <v>28.85</v>
      </c>
      <c r="G319" s="29" t="n">
        <v>34.33</v>
      </c>
      <c r="H319" s="30" t="inlineStr">
        <is>
          <t>X</t>
        </is>
      </c>
      <c r="I319" s="30" t="inlineStr">
        <is>
          <t>A</t>
        </is>
      </c>
      <c r="J319" s="30" t="inlineStr">
        <is>
          <t>M</t>
        </is>
      </c>
      <c r="K319" s="50" t="n"/>
      <c r="L319" s="50" t="n"/>
      <c r="M319" s="67" t="n"/>
      <c r="N319" s="30" t="n"/>
      <c r="O319" s="12">
        <f>IF(tb_rechnungen[[#This Row],[Re-Datum]]&gt;0,MONTH(tb_rechnungen[[#This Row],[Re-Datum]]),"")</f>
        <v/>
      </c>
      <c r="P319" s="13">
        <f>IF(tb_rechnungen[[#This Row],[Re-Datum]]&gt;0,YEAR(tb_rechnungen[[#This Row],[Re-Datum]]),"")</f>
        <v/>
      </c>
      <c r="Q319" s="19">
        <f>IF(tb_rechnungen[[#This Row],[Brutto]]&lt;&gt;0,tb_rechnungen[[#This Row],[Brutto]]-tb_rechnungen[[#This Row],[Netto]],"")</f>
        <v/>
      </c>
      <c r="R319" s="37">
        <f>IF(tb_rechnungen[[#This Row],[Netto]]&lt;&gt;0,ROUND(tb_rechnungen[[#This Row],[Steuer]]/tb_rechnungen[[#This Row],[Netto]],2),"")</f>
        <v/>
      </c>
    </row>
    <row r="320" hidden="1">
      <c r="A320" s="26" t="n">
        <v>45991</v>
      </c>
      <c r="B320" s="27" t="inlineStr">
        <is>
          <t>DKV</t>
        </is>
      </c>
      <c r="C320" s="28" t="inlineStr">
        <is>
          <t>25-648112100-001</t>
        </is>
      </c>
      <c r="D320" s="28" t="inlineStr">
        <is>
          <t>K</t>
        </is>
      </c>
      <c r="E320" s="27" t="inlineStr">
        <is>
          <t>November</t>
        </is>
      </c>
      <c r="F320" s="29" t="n">
        <v>111.69</v>
      </c>
      <c r="G320" s="29" t="n">
        <v>132.91</v>
      </c>
      <c r="H320" s="30" t="inlineStr">
        <is>
          <t>X</t>
        </is>
      </c>
      <c r="I320" s="30" t="inlineStr">
        <is>
          <t>A</t>
        </is>
      </c>
      <c r="J320" s="30" t="inlineStr">
        <is>
          <t>M</t>
        </is>
      </c>
      <c r="K320" s="50" t="n"/>
      <c r="L320" s="50" t="n"/>
      <c r="M320" s="67" t="n"/>
      <c r="N320" s="30" t="n"/>
      <c r="O320" s="12">
        <f>IF(tb_rechnungen[[#This Row],[Re-Datum]]&gt;0,MONTH(tb_rechnungen[[#This Row],[Re-Datum]]),"")</f>
        <v/>
      </c>
      <c r="P320" s="13">
        <f>IF(tb_rechnungen[[#This Row],[Re-Datum]]&gt;0,YEAR(tb_rechnungen[[#This Row],[Re-Datum]]),"")</f>
        <v/>
      </c>
      <c r="Q320" s="19">
        <f>IF(tb_rechnungen[[#This Row],[Brutto]]&lt;&gt;0,tb_rechnungen[[#This Row],[Brutto]]-tb_rechnungen[[#This Row],[Netto]],"")</f>
        <v/>
      </c>
      <c r="R320" s="37">
        <f>IF(tb_rechnungen[[#This Row],[Netto]]&lt;&gt;0,ROUND(tb_rechnungen[[#This Row],[Steuer]]/tb_rechnungen[[#This Row],[Netto]],2),"")</f>
        <v/>
      </c>
    </row>
    <row r="321" hidden="1">
      <c r="A321" s="26" t="n">
        <v>45992</v>
      </c>
      <c r="B321" s="27" t="inlineStr">
        <is>
          <t>FinBC</t>
        </is>
      </c>
      <c r="C321" s="28" t="inlineStr">
        <is>
          <t>SJMAOFZB-0006</t>
        </is>
      </c>
      <c r="D321" s="28" t="inlineStr">
        <is>
          <t>E</t>
        </is>
      </c>
      <c r="E321" s="27" t="inlineStr">
        <is>
          <t>rechnungsapi.de 12/2025</t>
        </is>
      </c>
      <c r="F321" s="29" t="n">
        <v>8.390000000000001</v>
      </c>
      <c r="G321" s="29" t="n">
        <v>9.99</v>
      </c>
      <c r="H321" s="30" t="inlineStr">
        <is>
          <t>X</t>
        </is>
      </c>
      <c r="I321" s="30" t="inlineStr">
        <is>
          <t>A</t>
        </is>
      </c>
      <c r="J321" s="31" t="inlineStr">
        <is>
          <t>M</t>
        </is>
      </c>
      <c r="K321" s="50" t="n"/>
      <c r="L321" s="50" t="n"/>
      <c r="M321" s="67" t="n"/>
      <c r="N321" s="30" t="inlineStr">
        <is>
          <t>FX</t>
        </is>
      </c>
      <c r="O321" s="12">
        <f>IF(tb_rechnungen[[#This Row],[Re-Datum]]&gt;0,MONTH(tb_rechnungen[[#This Row],[Re-Datum]]),"")</f>
        <v/>
      </c>
      <c r="P321" s="13">
        <f>IF(tb_rechnungen[[#This Row],[Re-Datum]]&gt;0,YEAR(tb_rechnungen[[#This Row],[Re-Datum]]),"")</f>
        <v/>
      </c>
      <c r="Q321" s="19">
        <f>IF(tb_rechnungen[[#This Row],[Brutto]]&lt;&gt;0,tb_rechnungen[[#This Row],[Brutto]]-tb_rechnungen[[#This Row],[Netto]],"")</f>
        <v/>
      </c>
      <c r="R321" s="37">
        <f>IF(tb_rechnungen[[#This Row],[Netto]]&lt;&gt;0,ROUND(tb_rechnungen[[#This Row],[Steuer]]/tb_rechnungen[[#This Row],[Netto]],2),"")</f>
        <v/>
      </c>
    </row>
    <row r="322" hidden="1">
      <c r="A322" s="26" t="n">
        <v>45992</v>
      </c>
      <c r="B322" s="27" t="inlineStr">
        <is>
          <t>VW Leasing</t>
        </is>
      </c>
      <c r="C322" s="28" t="inlineStr">
        <is>
          <t>R10256773814</t>
        </is>
      </c>
      <c r="D322" s="28" t="inlineStr">
        <is>
          <t>K</t>
        </is>
      </c>
      <c r="E322" s="27" t="inlineStr">
        <is>
          <t>Monat 12/2025</t>
        </is>
      </c>
      <c r="F322" s="29" t="n">
        <v>37.43</v>
      </c>
      <c r="G322" s="29" t="n">
        <v>44.54</v>
      </c>
      <c r="H322" s="30" t="inlineStr">
        <is>
          <t>X</t>
        </is>
      </c>
      <c r="I322" s="30" t="inlineStr">
        <is>
          <t>A</t>
        </is>
      </c>
      <c r="J322" s="31" t="inlineStr">
        <is>
          <t>M</t>
        </is>
      </c>
      <c r="K322" s="50" t="n"/>
      <c r="L322" s="50" t="n"/>
      <c r="M322" s="67" t="n"/>
      <c r="N322" s="30" t="n"/>
      <c r="O322" s="12">
        <f>IF(tb_rechnungen[[#This Row],[Re-Datum]]&gt;0,MONTH(tb_rechnungen[[#This Row],[Re-Datum]]),"")</f>
        <v/>
      </c>
      <c r="P322" s="13">
        <f>IF(tb_rechnungen[[#This Row],[Re-Datum]]&gt;0,YEAR(tb_rechnungen[[#This Row],[Re-Datum]]),"")</f>
        <v/>
      </c>
      <c r="Q322" s="19">
        <f>IF(tb_rechnungen[[#This Row],[Brutto]]&lt;&gt;0,tb_rechnungen[[#This Row],[Brutto]]-tb_rechnungen[[#This Row],[Netto]],"")</f>
        <v/>
      </c>
      <c r="R322" s="37">
        <f>IF(tb_rechnungen[[#This Row],[Netto]]&lt;&gt;0,ROUND(tb_rechnungen[[#This Row],[Steuer]]/tb_rechnungen[[#This Row],[Netto]],2),"")</f>
        <v/>
      </c>
    </row>
    <row r="323" hidden="1">
      <c r="A323" s="26" t="n">
        <v>45992</v>
      </c>
      <c r="B323" s="27" t="inlineStr">
        <is>
          <t>Gandenberger</t>
        </is>
      </c>
      <c r="C323" s="28" t="inlineStr">
        <is>
          <t>R11080058</t>
        </is>
      </c>
      <c r="D323" s="28" t="inlineStr">
        <is>
          <t>K</t>
        </is>
      </c>
      <c r="E323" s="27" t="inlineStr">
        <is>
          <t>LU UH 200 Inspektion</t>
        </is>
      </c>
      <c r="F323" s="29" t="n">
        <v>158.8</v>
      </c>
      <c r="G323" s="29" t="n">
        <v>188.97</v>
      </c>
      <c r="H323" s="30" t="inlineStr">
        <is>
          <t>X</t>
        </is>
      </c>
      <c r="I323" s="30" t="inlineStr">
        <is>
          <t>Z</t>
        </is>
      </c>
      <c r="J323" s="31" t="inlineStr">
        <is>
          <t>M</t>
        </is>
      </c>
      <c r="K323" s="50" t="n"/>
      <c r="L323" s="50" t="n"/>
      <c r="M323" s="67" t="n"/>
      <c r="N323" s="30" t="n"/>
      <c r="O323" s="12">
        <f>IF(tb_rechnungen[[#This Row],[Re-Datum]]&gt;0,MONTH(tb_rechnungen[[#This Row],[Re-Datum]]),"")</f>
        <v/>
      </c>
      <c r="P323" s="13">
        <f>IF(tb_rechnungen[[#This Row],[Re-Datum]]&gt;0,YEAR(tb_rechnungen[[#This Row],[Re-Datum]]),"")</f>
        <v/>
      </c>
      <c r="Q323" s="19">
        <f>IF(tb_rechnungen[[#This Row],[Brutto]]&lt;&gt;0,tb_rechnungen[[#This Row],[Brutto]]-tb_rechnungen[[#This Row],[Netto]],"")</f>
        <v/>
      </c>
      <c r="R323" s="37">
        <f>IF(tb_rechnungen[[#This Row],[Netto]]&lt;&gt;0,ROUND(tb_rechnungen[[#This Row],[Steuer]]/tb_rechnungen[[#This Row],[Netto]],2),"")</f>
        <v/>
      </c>
    </row>
    <row r="324" hidden="1">
      <c r="A324" s="26" t="n">
        <v>45992</v>
      </c>
      <c r="B324" s="27" t="inlineStr">
        <is>
          <t>Gandenberger</t>
        </is>
      </c>
      <c r="C324" s="28" t="inlineStr">
        <is>
          <t>R11080058</t>
        </is>
      </c>
      <c r="D324" s="28" t="inlineStr">
        <is>
          <t>K</t>
        </is>
      </c>
      <c r="E324" s="27" t="inlineStr">
        <is>
          <t>LU UH 400 TÜV</t>
        </is>
      </c>
      <c r="F324" s="29" t="n">
        <v>103</v>
      </c>
      <c r="G324" s="29" t="n">
        <v>103</v>
      </c>
      <c r="H324" s="30" t="inlineStr">
        <is>
          <t>X</t>
        </is>
      </c>
      <c r="I324" s="30" t="inlineStr">
        <is>
          <t>Z</t>
        </is>
      </c>
      <c r="J324" s="30" t="inlineStr">
        <is>
          <t>M</t>
        </is>
      </c>
      <c r="K324" s="50" t="n"/>
      <c r="L324" s="50" t="n"/>
      <c r="M324" s="67" t="n"/>
      <c r="N324" s="30" t="n"/>
      <c r="O324" s="12">
        <f>IF(tb_rechnungen[[#This Row],[Re-Datum]]&gt;0,MONTH(tb_rechnungen[[#This Row],[Re-Datum]]),"")</f>
        <v/>
      </c>
      <c r="P324" s="13">
        <f>IF(tb_rechnungen[[#This Row],[Re-Datum]]&gt;0,YEAR(tb_rechnungen[[#This Row],[Re-Datum]]),"")</f>
        <v/>
      </c>
      <c r="Q324" s="19">
        <f>IF(tb_rechnungen[[#This Row],[Brutto]]&lt;&gt;0,tb_rechnungen[[#This Row],[Brutto]]-tb_rechnungen[[#This Row],[Netto]],"")</f>
        <v/>
      </c>
      <c r="R324" s="37">
        <f>IF(tb_rechnungen[[#This Row],[Netto]]&lt;&gt;0,ROUND(tb_rechnungen[[#This Row],[Steuer]]/tb_rechnungen[[#This Row],[Netto]],2),"")</f>
        <v/>
      </c>
    </row>
    <row r="325" hidden="1">
      <c r="A325" s="26" t="n">
        <v>45992</v>
      </c>
      <c r="B325" s="27" t="inlineStr">
        <is>
          <t>Volkswagen</t>
        </is>
      </c>
      <c r="C325" s="28" t="inlineStr">
        <is>
          <t>R0381251000235110</t>
        </is>
      </c>
      <c r="D325" s="28" t="inlineStr">
        <is>
          <t>K</t>
        </is>
      </c>
      <c r="E325" s="27" t="inlineStr">
        <is>
          <t>WeConnect Plus</t>
        </is>
      </c>
      <c r="F325" s="29" t="n">
        <v>158.82</v>
      </c>
      <c r="G325" s="29" t="n">
        <v>189</v>
      </c>
      <c r="H325" s="30" t="inlineStr">
        <is>
          <t>X</t>
        </is>
      </c>
      <c r="I325" s="30" t="inlineStr">
        <is>
          <t>A</t>
        </is>
      </c>
      <c r="J325" s="31" t="inlineStr">
        <is>
          <t>M</t>
        </is>
      </c>
      <c r="K325" s="50" t="n"/>
      <c r="L325" s="50" t="n"/>
      <c r="M325" s="67" t="n"/>
      <c r="N325" s="30" t="n"/>
      <c r="O325" s="12">
        <f>IF(tb_rechnungen[[#This Row],[Re-Datum]]&gt;0,MONTH(tb_rechnungen[[#This Row],[Re-Datum]]),"")</f>
        <v/>
      </c>
      <c r="P325" s="13">
        <f>IF(tb_rechnungen[[#This Row],[Re-Datum]]&gt;0,YEAR(tb_rechnungen[[#This Row],[Re-Datum]]),"")</f>
        <v/>
      </c>
      <c r="Q325" s="19">
        <f>IF(tb_rechnungen[[#This Row],[Brutto]]&lt;&gt;0,tb_rechnungen[[#This Row],[Brutto]]-tb_rechnungen[[#This Row],[Netto]],"")</f>
        <v/>
      </c>
      <c r="R325" s="37">
        <f>IF(tb_rechnungen[[#This Row],[Netto]]&lt;&gt;0,ROUND(tb_rechnungen[[#This Row],[Steuer]]/tb_rechnungen[[#This Row],[Netto]],2),"")</f>
        <v/>
      </c>
    </row>
    <row r="326" hidden="1">
      <c r="A326" s="26" t="n">
        <v>45992</v>
      </c>
      <c r="B326" s="27" t="inlineStr">
        <is>
          <t>Volkswagen</t>
        </is>
      </c>
      <c r="C326" s="28" t="inlineStr">
        <is>
          <t>R0381251000235229</t>
        </is>
      </c>
      <c r="D326" s="28" t="inlineStr">
        <is>
          <t>K</t>
        </is>
      </c>
      <c r="E326" s="27" t="inlineStr">
        <is>
          <t>Sprachbedienung</t>
        </is>
      </c>
      <c r="F326" s="29" t="n">
        <v>184.03</v>
      </c>
      <c r="G326" s="29" t="n">
        <v>219</v>
      </c>
      <c r="H326" s="30" t="inlineStr">
        <is>
          <t>X</t>
        </is>
      </c>
      <c r="I326" s="30" t="inlineStr">
        <is>
          <t>A</t>
        </is>
      </c>
      <c r="J326" s="31" t="inlineStr">
        <is>
          <t>M</t>
        </is>
      </c>
      <c r="K326" s="50" t="n"/>
      <c r="L326" s="50" t="n"/>
      <c r="M326" s="67" t="n"/>
      <c r="N326" s="30" t="n"/>
      <c r="O326" s="12">
        <f>IF(tb_rechnungen[[#This Row],[Re-Datum]]&gt;0,MONTH(tb_rechnungen[[#This Row],[Re-Datum]]),"")</f>
        <v/>
      </c>
      <c r="P326" s="13">
        <f>IF(tb_rechnungen[[#This Row],[Re-Datum]]&gt;0,YEAR(tb_rechnungen[[#This Row],[Re-Datum]]),"")</f>
        <v/>
      </c>
      <c r="Q326" s="19">
        <f>IF(tb_rechnungen[[#This Row],[Brutto]]&lt;&gt;0,tb_rechnungen[[#This Row],[Brutto]]-tb_rechnungen[[#This Row],[Netto]],"")</f>
        <v/>
      </c>
      <c r="R326" s="37">
        <f>IF(tb_rechnungen[[#This Row],[Netto]]&lt;&gt;0,ROUND(tb_rechnungen[[#This Row],[Steuer]]/tb_rechnungen[[#This Row],[Netto]],2),"")</f>
        <v/>
      </c>
    </row>
    <row r="327" hidden="1">
      <c r="A327" s="26" t="n">
        <v>45993</v>
      </c>
      <c r="B327" s="27" t="inlineStr">
        <is>
          <t>Haus&amp;Grund</t>
        </is>
      </c>
      <c r="C327" s="28" t="inlineStr">
        <is>
          <t>Miete 11/2025</t>
        </is>
      </c>
      <c r="D327" s="28" t="inlineStr">
        <is>
          <t>K</t>
        </is>
      </c>
      <c r="E327" s="27" t="inlineStr">
        <is>
          <t>Miete</t>
        </is>
      </c>
      <c r="F327" s="29" t="n">
        <v>225</v>
      </c>
      <c r="G327" s="29" t="n">
        <v>225</v>
      </c>
      <c r="H327" s="30" t="inlineStr">
        <is>
          <t>X</t>
        </is>
      </c>
      <c r="I327" s="30" t="inlineStr">
        <is>
          <t>A</t>
        </is>
      </c>
      <c r="J327" s="31" t="inlineStr">
        <is>
          <t>M</t>
        </is>
      </c>
      <c r="K327" s="50" t="n"/>
      <c r="L327" s="50" t="n"/>
      <c r="M327" s="67" t="n"/>
      <c r="N327" s="30" t="n"/>
      <c r="O327" s="12">
        <f>IF(tb_rechnungen[[#This Row],[Re-Datum]]&gt;0,MONTH(tb_rechnungen[[#This Row],[Re-Datum]]),"")</f>
        <v/>
      </c>
      <c r="P327" s="13">
        <f>IF(tb_rechnungen[[#This Row],[Re-Datum]]&gt;0,YEAR(tb_rechnungen[[#This Row],[Re-Datum]]),"")</f>
        <v/>
      </c>
      <c r="Q327" s="19">
        <f>IF(tb_rechnungen[[#This Row],[Brutto]]&lt;&gt;0,tb_rechnungen[[#This Row],[Brutto]]-tb_rechnungen[[#This Row],[Netto]],"")</f>
        <v/>
      </c>
      <c r="R327" s="37">
        <f>IF(tb_rechnungen[[#This Row],[Netto]]&lt;&gt;0,ROUND(tb_rechnungen[[#This Row],[Steuer]]/tb_rechnungen[[#This Row],[Netto]],2),"")</f>
        <v/>
      </c>
    </row>
    <row r="328" hidden="1">
      <c r="A328" s="26" t="n">
        <v>45993</v>
      </c>
      <c r="B328" s="27" t="inlineStr">
        <is>
          <t>Strom</t>
        </is>
      </c>
      <c r="C328" s="28" t="inlineStr">
        <is>
          <t>Strom</t>
        </is>
      </c>
      <c r="D328" s="28" t="inlineStr">
        <is>
          <t>KM</t>
        </is>
      </c>
      <c r="E328" s="27" t="inlineStr">
        <is>
          <t>Summe der Abbuchungen /Rückzahlungen 2025</t>
        </is>
      </c>
      <c r="F328" s="29" t="n">
        <v>687.61</v>
      </c>
      <c r="G328" s="29" t="n">
        <v>687.61</v>
      </c>
      <c r="H328" s="30" t="inlineStr">
        <is>
          <t>X</t>
        </is>
      </c>
      <c r="I328" s="30" t="inlineStr">
        <is>
          <t>A</t>
        </is>
      </c>
      <c r="J328" s="31" t="inlineStr">
        <is>
          <t>M</t>
        </is>
      </c>
      <c r="K328" s="50" t="n"/>
      <c r="L328" s="50" t="n"/>
      <c r="M328" s="67" t="n"/>
      <c r="N328" s="30" t="n"/>
      <c r="O328" s="12">
        <f>IF(tb_rechnungen[[#This Row],[Re-Datum]]&gt;0,MONTH(tb_rechnungen[[#This Row],[Re-Datum]]),"")</f>
        <v/>
      </c>
      <c r="P328" s="13">
        <f>IF(tb_rechnungen[[#This Row],[Re-Datum]]&gt;0,YEAR(tb_rechnungen[[#This Row],[Re-Datum]]),"")</f>
        <v/>
      </c>
      <c r="Q328" s="19">
        <f>IF(tb_rechnungen[[#This Row],[Brutto]]&lt;&gt;0,tb_rechnungen[[#This Row],[Brutto]]-tb_rechnungen[[#This Row],[Netto]],"")</f>
        <v/>
      </c>
      <c r="R328" s="37">
        <f>IF(tb_rechnungen[[#This Row],[Netto]]&lt;&gt;0,ROUND(tb_rechnungen[[#This Row],[Steuer]]/tb_rechnungen[[#This Row],[Netto]],2),"")</f>
        <v/>
      </c>
    </row>
    <row r="329" hidden="1">
      <c r="A329" s="26" t="n">
        <v>45997</v>
      </c>
      <c r="B329" s="27" t="inlineStr">
        <is>
          <t>Wortmann</t>
        </is>
      </c>
      <c r="C329" s="59" t="inlineStr">
        <is>
          <t>DR9054308</t>
        </is>
      </c>
      <c r="D329" s="28" t="inlineStr">
        <is>
          <t>E</t>
        </is>
      </c>
      <c r="E329" s="27" t="inlineStr">
        <is>
          <t>Terracloud M365 Bavkup VEH</t>
        </is>
      </c>
      <c r="F329" s="29" t="n">
        <v>14.9</v>
      </c>
      <c r="G329" s="29" t="n">
        <v>17.73</v>
      </c>
      <c r="H329" s="30" t="inlineStr">
        <is>
          <t>X</t>
        </is>
      </c>
      <c r="I329" s="30" t="inlineStr">
        <is>
          <t>Z</t>
        </is>
      </c>
      <c r="J329" s="31" t="inlineStr">
        <is>
          <t>M</t>
        </is>
      </c>
      <c r="K329" s="50" t="n"/>
      <c r="L329" s="50" t="n"/>
      <c r="M329" s="67" t="n"/>
      <c r="N329" s="30" t="n"/>
      <c r="O329" s="12">
        <f>IF(tb_rechnungen[[#This Row],[Re-Datum]]&gt;0,MONTH(tb_rechnungen[[#This Row],[Re-Datum]]),"")</f>
        <v/>
      </c>
      <c r="P329" s="13">
        <f>IF(tb_rechnungen[[#This Row],[Re-Datum]]&gt;0,YEAR(tb_rechnungen[[#This Row],[Re-Datum]]),"")</f>
        <v/>
      </c>
      <c r="Q329" s="19">
        <f>IF(tb_rechnungen[[#This Row],[Brutto]]&lt;&gt;0,tb_rechnungen[[#This Row],[Brutto]]-tb_rechnungen[[#This Row],[Netto]],"")</f>
        <v/>
      </c>
      <c r="R329" s="37">
        <f>IF(tb_rechnungen[[#This Row],[Netto]]&lt;&gt;0,ROUND(tb_rechnungen[[#This Row],[Steuer]]/tb_rechnungen[[#This Row],[Netto]],2),"")</f>
        <v/>
      </c>
    </row>
    <row r="330" hidden="1">
      <c r="A330" s="26" t="n">
        <v>45999</v>
      </c>
      <c r="B330" s="27" t="inlineStr">
        <is>
          <t>BFS finance</t>
        </is>
      </c>
      <c r="C330" s="28" t="inlineStr">
        <is>
          <t>FI14612210</t>
        </is>
      </c>
      <c r="D330" s="28" t="inlineStr">
        <is>
          <t>E</t>
        </is>
      </c>
      <c r="E330" s="27" t="inlineStr">
        <is>
          <t>3 x HP Zbook Power 16G11A API GmbH</t>
        </is>
      </c>
      <c r="F330" s="29" t="n">
        <v>7128</v>
      </c>
      <c r="G330" s="29" t="n">
        <v>8482.32</v>
      </c>
      <c r="H330" s="30" t="inlineStr">
        <is>
          <t>X</t>
        </is>
      </c>
      <c r="I330" s="30" t="inlineStr">
        <is>
          <t>Z</t>
        </is>
      </c>
      <c r="J330" s="31" t="inlineStr">
        <is>
          <t>M</t>
        </is>
      </c>
      <c r="K330" s="50" t="n">
        <v>46028</v>
      </c>
      <c r="L330" s="50" t="inlineStr">
        <is>
          <t>API GmbH</t>
        </is>
      </c>
      <c r="M330" s="67" t="inlineStr">
        <is>
          <t>DE16478400804156727358</t>
        </is>
      </c>
      <c r="N330" s="30" t="n"/>
      <c r="O330" s="12">
        <f>IF(tb_rechnungen[[#This Row],[Re-Datum]]&gt;0,MONTH(tb_rechnungen[[#This Row],[Re-Datum]]),"")</f>
        <v/>
      </c>
      <c r="P330" s="13">
        <f>IF(tb_rechnungen[[#This Row],[Re-Datum]]&gt;0,YEAR(tb_rechnungen[[#This Row],[Re-Datum]]),"")</f>
        <v/>
      </c>
      <c r="Q330" s="19">
        <f>IF(tb_rechnungen[[#This Row],[Brutto]]&lt;&gt;0,tb_rechnungen[[#This Row],[Brutto]]-tb_rechnungen[[#This Row],[Netto]],"")</f>
        <v/>
      </c>
      <c r="R330" s="37">
        <f>IF(tb_rechnungen[[#This Row],[Netto]]&lt;&gt;0,ROUND(tb_rechnungen[[#This Row],[Steuer]]/tb_rechnungen[[#This Row],[Netto]],2),"")</f>
        <v/>
      </c>
    </row>
    <row r="331" hidden="1">
      <c r="A331" s="26" t="n">
        <v>46000</v>
      </c>
      <c r="B331" s="27" t="inlineStr">
        <is>
          <t>Telekom</t>
        </is>
      </c>
      <c r="C331" s="28" t="inlineStr">
        <is>
          <t>R35382555000551</t>
        </is>
      </c>
      <c r="D331" s="28" t="inlineStr">
        <is>
          <t>K</t>
        </is>
      </c>
      <c r="E331" s="27" t="inlineStr">
        <is>
          <t xml:space="preserve">Schulze Mobil </t>
        </is>
      </c>
      <c r="F331" s="29" t="n">
        <v>12.59</v>
      </c>
      <c r="G331" s="29" t="n">
        <v>14.95</v>
      </c>
      <c r="H331" s="30" t="inlineStr">
        <is>
          <t>X</t>
        </is>
      </c>
      <c r="I331" s="30" t="inlineStr">
        <is>
          <t>A</t>
        </is>
      </c>
      <c r="J331" s="30" t="inlineStr">
        <is>
          <t>M</t>
        </is>
      </c>
      <c r="K331" s="50" t="n">
        <v>46010</v>
      </c>
      <c r="L331" s="50" t="n"/>
      <c r="M331" s="67" t="n"/>
      <c r="N331" s="30" t="n"/>
      <c r="O331" s="12">
        <f>IF(tb_rechnungen[[#This Row],[Re-Datum]]&gt;0,MONTH(tb_rechnungen[[#This Row],[Re-Datum]]),"")</f>
        <v/>
      </c>
      <c r="P331" s="13">
        <f>IF(tb_rechnungen[[#This Row],[Re-Datum]]&gt;0,YEAR(tb_rechnungen[[#This Row],[Re-Datum]]),"")</f>
        <v/>
      </c>
      <c r="Q331" s="19">
        <f>IF(tb_rechnungen[[#This Row],[Brutto]]&lt;&gt;0,tb_rechnungen[[#This Row],[Brutto]]-tb_rechnungen[[#This Row],[Netto]],"")</f>
        <v/>
      </c>
      <c r="R331" s="37">
        <f>IF(tb_rechnungen[[#This Row],[Netto]]&lt;&gt;0,ROUND(tb_rechnungen[[#This Row],[Steuer]]/tb_rechnungen[[#This Row],[Netto]],2),"")</f>
        <v/>
      </c>
    </row>
    <row r="332" hidden="1">
      <c r="A332" s="26" t="n">
        <v>46001</v>
      </c>
      <c r="B332" s="27" t="inlineStr">
        <is>
          <t>Hetzner</t>
        </is>
      </c>
      <c r="C332" s="28" t="inlineStr">
        <is>
          <t>R087000641262</t>
        </is>
      </c>
      <c r="D332" s="28" t="inlineStr">
        <is>
          <t>E</t>
        </is>
      </c>
      <c r="E332" s="27" t="inlineStr">
        <is>
          <t>Oktober/November</t>
        </is>
      </c>
      <c r="F332" s="29" t="n">
        <v>6.38</v>
      </c>
      <c r="G332" s="29" t="n">
        <v>7.6</v>
      </c>
      <c r="H332" s="30" t="inlineStr">
        <is>
          <t>X</t>
        </is>
      </c>
      <c r="I332" s="30" t="inlineStr">
        <is>
          <t>A</t>
        </is>
      </c>
      <c r="J332" s="31" t="inlineStr">
        <is>
          <t>M</t>
        </is>
      </c>
      <c r="K332" s="50" t="n"/>
      <c r="L332" s="50" t="n"/>
      <c r="M332" s="67" t="n"/>
      <c r="N332" s="30" t="n"/>
      <c r="O332" s="12">
        <f>IF(tb_rechnungen[[#This Row],[Re-Datum]]&gt;0,MONTH(tb_rechnungen[[#This Row],[Re-Datum]]),"")</f>
        <v/>
      </c>
      <c r="P332" s="13">
        <f>IF(tb_rechnungen[[#This Row],[Re-Datum]]&gt;0,YEAR(tb_rechnungen[[#This Row],[Re-Datum]]),"")</f>
        <v/>
      </c>
      <c r="Q332" s="19">
        <f>IF(tb_rechnungen[[#This Row],[Brutto]]&lt;&gt;0,tb_rechnungen[[#This Row],[Brutto]]-tb_rechnungen[[#This Row],[Netto]],"")</f>
        <v/>
      </c>
      <c r="R332" s="37">
        <f>IF(tb_rechnungen[[#This Row],[Netto]]&lt;&gt;0,ROUND(tb_rechnungen[[#This Row],[Steuer]]/tb_rechnungen[[#This Row],[Netto]],2),"")</f>
        <v/>
      </c>
    </row>
    <row r="333" hidden="1">
      <c r="A333" s="26" t="n">
        <v>46001</v>
      </c>
      <c r="B333" s="27" t="inlineStr">
        <is>
          <t>Ratiokontakt</t>
        </is>
      </c>
      <c r="C333" s="28" t="inlineStr">
        <is>
          <t>R10893168</t>
        </is>
      </c>
      <c r="D333" s="28" t="inlineStr">
        <is>
          <t>E</t>
        </is>
      </c>
      <c r="E333" s="27" t="inlineStr">
        <is>
          <t>Resellerweb bis 16.12.2025</t>
        </is>
      </c>
      <c r="F333" s="29" t="n">
        <v>29.9</v>
      </c>
      <c r="G333" s="29" t="n">
        <v>35.58</v>
      </c>
      <c r="H333" s="30" t="inlineStr">
        <is>
          <t>X</t>
        </is>
      </c>
      <c r="I333" s="30" t="inlineStr">
        <is>
          <t>A</t>
        </is>
      </c>
      <c r="J333" s="31" t="inlineStr">
        <is>
          <t>M</t>
        </is>
      </c>
      <c r="K333" s="50" t="n"/>
      <c r="L333" s="50" t="n"/>
      <c r="M333" s="67" t="n"/>
      <c r="N333" s="30" t="n"/>
      <c r="O333" s="12">
        <f>IF(tb_rechnungen[[#This Row],[Re-Datum]]&gt;0,MONTH(tb_rechnungen[[#This Row],[Re-Datum]]),"")</f>
        <v/>
      </c>
      <c r="P333" s="13">
        <f>IF(tb_rechnungen[[#This Row],[Re-Datum]]&gt;0,YEAR(tb_rechnungen[[#This Row],[Re-Datum]]),"")</f>
        <v/>
      </c>
      <c r="Q333" s="19">
        <f>IF(tb_rechnungen[[#This Row],[Brutto]]&lt;&gt;0,tb_rechnungen[[#This Row],[Brutto]]-tb_rechnungen[[#This Row],[Netto]],"")</f>
        <v/>
      </c>
      <c r="R333" s="37">
        <f>IF(tb_rechnungen[[#This Row],[Netto]]&lt;&gt;0,ROUND(tb_rechnungen[[#This Row],[Steuer]]/tb_rechnungen[[#This Row],[Netto]],2),"")</f>
        <v/>
      </c>
    </row>
    <row r="334" hidden="1">
      <c r="A334" s="26" t="n">
        <v>46002</v>
      </c>
      <c r="B334" s="27" t="inlineStr">
        <is>
          <t>Telekom</t>
        </is>
      </c>
      <c r="C334" s="28" t="inlineStr">
        <is>
          <t>R720 315 6347</t>
        </is>
      </c>
      <c r="D334" s="28" t="inlineStr">
        <is>
          <t>K</t>
        </is>
      </c>
      <c r="E334" s="27" t="inlineStr">
        <is>
          <t>Schulze Dezember</t>
        </is>
      </c>
      <c r="F334" s="29" t="n">
        <v>33.81</v>
      </c>
      <c r="G334" s="29" t="n">
        <v>40.23</v>
      </c>
      <c r="H334" s="30" t="inlineStr">
        <is>
          <t>X</t>
        </is>
      </c>
      <c r="I334" s="30" t="inlineStr">
        <is>
          <t>A</t>
        </is>
      </c>
      <c r="J334" s="31" t="inlineStr">
        <is>
          <t>M</t>
        </is>
      </c>
      <c r="K334" s="50" t="n"/>
      <c r="L334" s="50" t="n"/>
      <c r="M334" s="67" t="n"/>
      <c r="N334" s="30" t="n"/>
      <c r="O334" s="12">
        <f>IF(tb_rechnungen[[#This Row],[Re-Datum]]&gt;0,MONTH(tb_rechnungen[[#This Row],[Re-Datum]]),"")</f>
        <v/>
      </c>
      <c r="P334" s="13">
        <f>IF(tb_rechnungen[[#This Row],[Re-Datum]]&gt;0,YEAR(tb_rechnungen[[#This Row],[Re-Datum]]),"")</f>
        <v/>
      </c>
      <c r="Q334" s="19">
        <f>IF(tb_rechnungen[[#This Row],[Brutto]]&lt;&gt;0,tb_rechnungen[[#This Row],[Brutto]]-tb_rechnungen[[#This Row],[Netto]],"")</f>
        <v/>
      </c>
      <c r="R334" s="37">
        <f>IF(tb_rechnungen[[#This Row],[Netto]]&lt;&gt;0,ROUND(tb_rechnungen[[#This Row],[Steuer]]/tb_rechnungen[[#This Row],[Netto]],2),"")</f>
        <v/>
      </c>
    </row>
    <row r="335" hidden="1">
      <c r="A335" s="26" t="n">
        <v>46002</v>
      </c>
      <c r="B335" s="27" t="inlineStr">
        <is>
          <t>Vendosoft</t>
        </is>
      </c>
      <c r="C335" s="28" t="inlineStr">
        <is>
          <t>RG-1-2025-4815</t>
        </is>
      </c>
      <c r="D335" s="28" t="inlineStr">
        <is>
          <t>E</t>
        </is>
      </c>
      <c r="E335" s="27" t="inlineStr">
        <is>
          <t>2 x Office 2024 LTSC gebraucht</t>
        </is>
      </c>
      <c r="F335" s="29" t="n">
        <v>508</v>
      </c>
      <c r="G335" s="29" t="n">
        <v>604.52</v>
      </c>
      <c r="H335" s="30" t="inlineStr">
        <is>
          <t>X</t>
        </is>
      </c>
      <c r="I335" s="30" t="inlineStr">
        <is>
          <t>Z</t>
        </is>
      </c>
      <c r="J335" s="30" t="inlineStr">
        <is>
          <t>M</t>
        </is>
      </c>
      <c r="K335" s="50" t="n">
        <v>46008</v>
      </c>
      <c r="L335" s="50" t="inlineStr">
        <is>
          <t>Office 204</t>
        </is>
      </c>
      <c r="M335" s="67" t="inlineStr">
        <is>
          <t>DE68720200700022580493</t>
        </is>
      </c>
      <c r="N335" s="30" t="n"/>
      <c r="O335" s="12">
        <f>IF(tb_rechnungen[[#This Row],[Re-Datum]]&gt;0,MONTH(tb_rechnungen[[#This Row],[Re-Datum]]),"")</f>
        <v/>
      </c>
      <c r="P335" s="13">
        <f>IF(tb_rechnungen[[#This Row],[Re-Datum]]&gt;0,YEAR(tb_rechnungen[[#This Row],[Re-Datum]]),"")</f>
        <v/>
      </c>
      <c r="Q335" s="19">
        <f>IF(tb_rechnungen[[#This Row],[Brutto]]&lt;&gt;0,tb_rechnungen[[#This Row],[Brutto]]-tb_rechnungen[[#This Row],[Netto]],"")</f>
        <v/>
      </c>
      <c r="R335" s="37">
        <f>IF(tb_rechnungen[[#This Row],[Netto]]&lt;&gt;0,ROUND(tb_rechnungen[[#This Row],[Steuer]]/tb_rechnungen[[#This Row],[Netto]],2),"")</f>
        <v/>
      </c>
    </row>
    <row r="336" hidden="1">
      <c r="A336" s="26" t="n">
        <v>46003</v>
      </c>
      <c r="B336" s="27" t="inlineStr">
        <is>
          <t>Systeam</t>
        </is>
      </c>
      <c r="C336" s="28" t="inlineStr">
        <is>
          <t>RG 50538924</t>
        </is>
      </c>
      <c r="D336" s="28" t="inlineStr">
        <is>
          <t>E</t>
        </is>
      </c>
      <c r="E336" s="27" t="inlineStr">
        <is>
          <t>Hardware Zubehör</t>
        </is>
      </c>
      <c r="F336" s="29" t="n">
        <v>48.27</v>
      </c>
      <c r="G336" s="29" t="n">
        <v>57.44</v>
      </c>
      <c r="H336" s="30" t="inlineStr">
        <is>
          <t>X</t>
        </is>
      </c>
      <c r="I336" s="30" t="inlineStr">
        <is>
          <t>Z</t>
        </is>
      </c>
      <c r="J336" s="30" t="inlineStr">
        <is>
          <t>M</t>
        </is>
      </c>
      <c r="K336" s="50" t="n">
        <v>46010</v>
      </c>
      <c r="L336" s="50" t="n"/>
      <c r="M336" s="67" t="inlineStr">
        <is>
          <t>DE32770200700363106897</t>
        </is>
      </c>
      <c r="N336" s="30" t="n"/>
      <c r="O336" s="12">
        <f>IF(tb_rechnungen[[#This Row],[Re-Datum]]&gt;0,MONTH(tb_rechnungen[[#This Row],[Re-Datum]]),"")</f>
        <v/>
      </c>
      <c r="P336" s="13">
        <f>IF(tb_rechnungen[[#This Row],[Re-Datum]]&gt;0,YEAR(tb_rechnungen[[#This Row],[Re-Datum]]),"")</f>
        <v/>
      </c>
      <c r="Q336" s="19">
        <f>IF(tb_rechnungen[[#This Row],[Brutto]]&lt;&gt;0,tb_rechnungen[[#This Row],[Brutto]]-tb_rechnungen[[#This Row],[Netto]],"")</f>
        <v/>
      </c>
      <c r="R336" s="37">
        <f>IF(tb_rechnungen[[#This Row],[Netto]]&lt;&gt;0,ROUND(tb_rechnungen[[#This Row],[Steuer]]/tb_rechnungen[[#This Row],[Netto]],2),"")</f>
        <v/>
      </c>
    </row>
    <row r="337" hidden="1">
      <c r="A337" s="26" t="n">
        <v>46003</v>
      </c>
      <c r="B337" s="27" t="inlineStr">
        <is>
          <t>Vendosoft</t>
        </is>
      </c>
      <c r="C337" s="28" t="inlineStr">
        <is>
          <t>RG-1-2025-4845</t>
        </is>
      </c>
      <c r="D337" s="28" t="inlineStr">
        <is>
          <t>E</t>
        </is>
      </c>
      <c r="E337" s="27" t="inlineStr">
        <is>
          <t>Visio 2024 LTSC für wfb</t>
        </is>
      </c>
      <c r="F337" s="29" t="n">
        <v>399</v>
      </c>
      <c r="G337" s="29" t="n">
        <v>474.81</v>
      </c>
      <c r="H337" s="30" t="inlineStr">
        <is>
          <t>X</t>
        </is>
      </c>
      <c r="I337" s="30" t="inlineStr">
        <is>
          <t>Z</t>
        </is>
      </c>
      <c r="J337" s="30" t="inlineStr">
        <is>
          <t>M</t>
        </is>
      </c>
      <c r="K337" s="50" t="n">
        <v>46009</v>
      </c>
      <c r="L337" s="50" t="inlineStr">
        <is>
          <t>Visio 2024</t>
        </is>
      </c>
      <c r="M337" s="68" t="inlineStr">
        <is>
          <t>DE68720200700022580493</t>
        </is>
      </c>
      <c r="N337" s="30" t="n"/>
      <c r="O337" s="12">
        <f>IF(tb_rechnungen[[#This Row],[Re-Datum]]&gt;0,MONTH(tb_rechnungen[[#This Row],[Re-Datum]]),"")</f>
        <v/>
      </c>
      <c r="P337" s="13">
        <f>IF(tb_rechnungen[[#This Row],[Re-Datum]]&gt;0,YEAR(tb_rechnungen[[#This Row],[Re-Datum]]),"")</f>
        <v/>
      </c>
      <c r="Q337" s="19">
        <f>IF(tb_rechnungen[[#This Row],[Brutto]]&lt;&gt;0,tb_rechnungen[[#This Row],[Brutto]]-tb_rechnungen[[#This Row],[Netto]],"")</f>
        <v/>
      </c>
      <c r="R337" s="37">
        <f>IF(tb_rechnungen[[#This Row],[Netto]]&lt;&gt;0,ROUND(tb_rechnungen[[#This Row],[Steuer]]/tb_rechnungen[[#This Row],[Netto]],2),"")</f>
        <v/>
      </c>
    </row>
    <row r="338" hidden="1">
      <c r="A338" s="26" t="n">
        <v>46004</v>
      </c>
      <c r="B338" s="27" t="inlineStr">
        <is>
          <t>Blau</t>
        </is>
      </c>
      <c r="C338" s="28" t="inlineStr">
        <is>
          <t>1432860421/08</t>
        </is>
      </c>
      <c r="D338" s="28" t="inlineStr">
        <is>
          <t>K</t>
        </is>
      </c>
      <c r="E338" s="27" t="inlineStr">
        <is>
          <t>1432860421/08</t>
        </is>
      </c>
      <c r="F338" s="29" t="n">
        <v>11.48</v>
      </c>
      <c r="G338" s="29" t="n">
        <v>13.66</v>
      </c>
      <c r="H338" s="30" t="inlineStr">
        <is>
          <t>X</t>
        </is>
      </c>
      <c r="I338" s="30" t="inlineStr">
        <is>
          <t>A</t>
        </is>
      </c>
      <c r="J338" s="31" t="inlineStr">
        <is>
          <t>M</t>
        </is>
      </c>
      <c r="K338" s="50" t="n"/>
      <c r="L338" s="50" t="n"/>
      <c r="M338" s="67" t="n"/>
      <c r="N338" s="30" t="n"/>
      <c r="O338" s="12">
        <f>IF(tb_rechnungen[[#This Row],[Re-Datum]]&gt;0,MONTH(tb_rechnungen[[#This Row],[Re-Datum]]),"")</f>
        <v/>
      </c>
      <c r="P338" s="13">
        <f>IF(tb_rechnungen[[#This Row],[Re-Datum]]&gt;0,YEAR(tb_rechnungen[[#This Row],[Re-Datum]]),"")</f>
        <v/>
      </c>
      <c r="Q338" s="19">
        <f>IF(tb_rechnungen[[#This Row],[Brutto]]&lt;&gt;0,tb_rechnungen[[#This Row],[Brutto]]-tb_rechnungen[[#This Row],[Netto]],"")</f>
        <v/>
      </c>
      <c r="R338" s="37">
        <f>IF(tb_rechnungen[[#This Row],[Netto]]&lt;&gt;0,ROUND(tb_rechnungen[[#This Row],[Steuer]]/tb_rechnungen[[#This Row],[Netto]],2),"")</f>
        <v/>
      </c>
    </row>
    <row r="339" hidden="1">
      <c r="A339" s="26" t="n">
        <v>46005</v>
      </c>
      <c r="B339" s="27" t="inlineStr">
        <is>
          <t>openart.ai</t>
        </is>
      </c>
      <c r="C339" s="28" t="inlineStr">
        <is>
          <t>M2Y0GPHY-0001</t>
        </is>
      </c>
      <c r="D339" s="28" t="inlineStr">
        <is>
          <t>K</t>
        </is>
      </c>
      <c r="E339" s="27" t="inlineStr">
        <is>
          <t>Video AI Test</t>
        </is>
      </c>
      <c r="F339" s="29" t="n">
        <v>11.95</v>
      </c>
      <c r="G339" s="29" t="n">
        <v>11.95</v>
      </c>
      <c r="H339" s="30" t="inlineStr">
        <is>
          <t>X</t>
        </is>
      </c>
      <c r="I339" s="30" t="inlineStr">
        <is>
          <t>A</t>
        </is>
      </c>
      <c r="J339" s="30" t="inlineStr">
        <is>
          <t>M</t>
        </is>
      </c>
      <c r="K339" s="50" t="n"/>
      <c r="L339" s="50" t="n"/>
      <c r="M339" s="67" t="n"/>
      <c r="N339" s="30" t="inlineStr">
        <is>
          <t>FX</t>
        </is>
      </c>
      <c r="O339" s="12">
        <f>IF(tb_rechnungen[[#This Row],[Re-Datum]]&gt;0,MONTH(tb_rechnungen[[#This Row],[Re-Datum]]),"")</f>
        <v/>
      </c>
      <c r="P339" s="13">
        <f>IF(tb_rechnungen[[#This Row],[Re-Datum]]&gt;0,YEAR(tb_rechnungen[[#This Row],[Re-Datum]]),"")</f>
        <v/>
      </c>
      <c r="Q339" s="19">
        <f>IF(tb_rechnungen[[#This Row],[Brutto]]&lt;&gt;0,tb_rechnungen[[#This Row],[Brutto]]-tb_rechnungen[[#This Row],[Netto]],"")</f>
        <v/>
      </c>
      <c r="R339" s="37">
        <f>IF(tb_rechnungen[[#This Row],[Netto]]&lt;&gt;0,ROUND(tb_rechnungen[[#This Row],[Steuer]]/tb_rechnungen[[#This Row],[Netto]],2),"")</f>
        <v/>
      </c>
    </row>
    <row r="340" hidden="1">
      <c r="A340" s="26" t="n">
        <v>46006</v>
      </c>
      <c r="B340" s="27" t="inlineStr">
        <is>
          <t>OPenAI</t>
        </is>
      </c>
      <c r="C340" s="28" t="inlineStr">
        <is>
          <t>42FAAA25-0001</t>
        </is>
      </c>
      <c r="D340" s="28" t="inlineStr">
        <is>
          <t>K</t>
        </is>
      </c>
      <c r="E340" s="27" t="inlineStr">
        <is>
          <t>API-Keys für OpenAI</t>
        </is>
      </c>
      <c r="F340" s="29" t="n">
        <v>4.27</v>
      </c>
      <c r="G340" s="29" t="n">
        <v>5.08</v>
      </c>
      <c r="H340" s="30" t="inlineStr">
        <is>
          <t>X</t>
        </is>
      </c>
      <c r="I340" s="30" t="inlineStr">
        <is>
          <t>A</t>
        </is>
      </c>
      <c r="J340" s="30" t="inlineStr">
        <is>
          <t>M</t>
        </is>
      </c>
      <c r="K340" s="50" t="n"/>
      <c r="L340" s="50" t="n"/>
      <c r="M340" s="67" t="n"/>
      <c r="N340" s="30" t="inlineStr">
        <is>
          <t>FX</t>
        </is>
      </c>
      <c r="O340" s="12">
        <f>IF(tb_rechnungen[[#This Row],[Re-Datum]]&gt;0,MONTH(tb_rechnungen[[#This Row],[Re-Datum]]),"")</f>
        <v/>
      </c>
      <c r="P340" s="13">
        <f>IF(tb_rechnungen[[#This Row],[Re-Datum]]&gt;0,YEAR(tb_rechnungen[[#This Row],[Re-Datum]]),"")</f>
        <v/>
      </c>
      <c r="Q340" s="19">
        <f>IF(tb_rechnungen[[#This Row],[Brutto]]&lt;&gt;0,tb_rechnungen[[#This Row],[Brutto]]-tb_rechnungen[[#This Row],[Netto]],"")</f>
        <v/>
      </c>
      <c r="R340" s="37">
        <f>IF(tb_rechnungen[[#This Row],[Netto]]&lt;&gt;0,ROUND(tb_rechnungen[[#This Row],[Steuer]]/tb_rechnungen[[#This Row],[Netto]],2),"")</f>
        <v/>
      </c>
    </row>
    <row r="341" hidden="1">
      <c r="A341" s="26" t="n">
        <v>46007</v>
      </c>
      <c r="B341" s="27" t="inlineStr">
        <is>
          <t>Telekom</t>
        </is>
      </c>
      <c r="C341" s="28" t="inlineStr">
        <is>
          <t>720 591 8198</t>
        </is>
      </c>
      <c r="D341" s="28" t="inlineStr">
        <is>
          <t>K</t>
        </is>
      </c>
      <c r="E341" s="27" t="inlineStr">
        <is>
          <t>Büro LU Dezember</t>
        </is>
      </c>
      <c r="F341" s="29" t="n">
        <v>39.84</v>
      </c>
      <c r="G341" s="29" t="n">
        <v>47.41</v>
      </c>
      <c r="H341" s="30" t="inlineStr">
        <is>
          <t>X</t>
        </is>
      </c>
      <c r="I341" s="30" t="inlineStr">
        <is>
          <t>A</t>
        </is>
      </c>
      <c r="J341" s="31" t="inlineStr">
        <is>
          <t>M</t>
        </is>
      </c>
      <c r="K341" s="50" t="n"/>
      <c r="L341" s="50" t="n"/>
      <c r="M341" s="67" t="n"/>
      <c r="N341" s="30" t="n"/>
      <c r="O341" s="12">
        <f>IF(tb_rechnungen[[#This Row],[Re-Datum]]&gt;0,MONTH(tb_rechnungen[[#This Row],[Re-Datum]]),"")</f>
        <v/>
      </c>
      <c r="P341" s="13">
        <f>IF(tb_rechnungen[[#This Row],[Re-Datum]]&gt;0,YEAR(tb_rechnungen[[#This Row],[Re-Datum]]),"")</f>
        <v/>
      </c>
      <c r="Q341" s="19">
        <f>IF(tb_rechnungen[[#This Row],[Brutto]]&lt;&gt;0,tb_rechnungen[[#This Row],[Brutto]]-tb_rechnungen[[#This Row],[Netto]],"")</f>
        <v/>
      </c>
      <c r="R341" s="37">
        <f>IF(tb_rechnungen[[#This Row],[Netto]]&lt;&gt;0,ROUND(tb_rechnungen[[#This Row],[Steuer]]/tb_rechnungen[[#This Row],[Netto]],2),"")</f>
        <v/>
      </c>
    </row>
    <row r="342" hidden="1">
      <c r="A342" s="26" t="n">
        <v>46006</v>
      </c>
      <c r="B342" s="27" t="inlineStr">
        <is>
          <t>Sage</t>
        </is>
      </c>
      <c r="C342" s="28" t="inlineStr">
        <is>
          <t>2026-1052546</t>
        </is>
      </c>
      <c r="D342" s="28" t="inlineStr">
        <is>
          <t>K</t>
        </is>
      </c>
      <c r="E342" s="27" t="inlineStr">
        <is>
          <t>HR Cloud 12/2025</t>
        </is>
      </c>
      <c r="F342" s="29" t="n">
        <v>15.5</v>
      </c>
      <c r="G342" s="29" t="n">
        <v>18.45</v>
      </c>
      <c r="H342" s="30" t="inlineStr">
        <is>
          <t>EX</t>
        </is>
      </c>
      <c r="I342" s="30" t="inlineStr">
        <is>
          <t>A</t>
        </is>
      </c>
      <c r="J342" s="31" t="inlineStr">
        <is>
          <t>M</t>
        </is>
      </c>
      <c r="K342" s="50" t="n">
        <v>46024</v>
      </c>
      <c r="L342" s="50" t="n"/>
      <c r="M342" s="67" t="n"/>
      <c r="N342" s="30" t="n"/>
      <c r="O342" s="12">
        <f>IF(tb_rechnungen[[#This Row],[Re-Datum]]&gt;0,MONTH(tb_rechnungen[[#This Row],[Re-Datum]]),"")</f>
        <v/>
      </c>
      <c r="P342" s="13">
        <f>IF(tb_rechnungen[[#This Row],[Re-Datum]]&gt;0,YEAR(tb_rechnungen[[#This Row],[Re-Datum]]),"")</f>
        <v/>
      </c>
      <c r="Q342" s="19">
        <f>IF(tb_rechnungen[[#This Row],[Brutto]]&lt;&gt;0,tb_rechnungen[[#This Row],[Brutto]]-tb_rechnungen[[#This Row],[Netto]],"")</f>
        <v/>
      </c>
      <c r="R342" s="37">
        <f>IF(tb_rechnungen[[#This Row],[Netto]]&lt;&gt;0,ROUND(tb_rechnungen[[#This Row],[Steuer]]/tb_rechnungen[[#This Row],[Netto]],2),"")</f>
        <v/>
      </c>
    </row>
    <row r="343" hidden="1">
      <c r="A343" s="26" t="n">
        <v>46008</v>
      </c>
      <c r="B343" s="27" t="inlineStr">
        <is>
          <t>MH Bensheim</t>
        </is>
      </c>
      <c r="C343" s="28" t="inlineStr">
        <is>
          <t>R0019376</t>
        </is>
      </c>
      <c r="D343" s="28" t="inlineStr">
        <is>
          <t>K</t>
        </is>
      </c>
      <c r="E343" s="27" t="inlineStr">
        <is>
          <t>Inspektion &amp; Getriebeölwechsel</t>
        </is>
      </c>
      <c r="F343" s="29" t="n">
        <v>899.53</v>
      </c>
      <c r="G343" s="29" t="n">
        <v>1070.44</v>
      </c>
      <c r="H343" s="30" t="inlineStr">
        <is>
          <t>X</t>
        </is>
      </c>
      <c r="I343" s="30" t="inlineStr">
        <is>
          <t>Z</t>
        </is>
      </c>
      <c r="J343" s="30" t="inlineStr">
        <is>
          <t>M</t>
        </is>
      </c>
      <c r="K343" s="50" t="n">
        <v>46021</v>
      </c>
      <c r="L343" s="50" t="n"/>
      <c r="M343" s="67" t="inlineStr">
        <is>
          <t>DE93100100100779987130</t>
        </is>
      </c>
      <c r="N343" s="30" t="n"/>
      <c r="O343" s="12">
        <f>IF(tb_rechnungen[[#This Row],[Re-Datum]]&gt;0,MONTH(tb_rechnungen[[#This Row],[Re-Datum]]),"")</f>
        <v/>
      </c>
      <c r="P343" s="13">
        <f>IF(tb_rechnungen[[#This Row],[Re-Datum]]&gt;0,YEAR(tb_rechnungen[[#This Row],[Re-Datum]]),"")</f>
        <v/>
      </c>
      <c r="Q343" s="19">
        <f>IF(tb_rechnungen[[#This Row],[Brutto]]&lt;&gt;0,tb_rechnungen[[#This Row],[Brutto]]-tb_rechnungen[[#This Row],[Netto]],"")</f>
        <v/>
      </c>
      <c r="R343" s="37">
        <f>IF(tb_rechnungen[[#This Row],[Netto]]&lt;&gt;0,ROUND(tb_rechnungen[[#This Row],[Steuer]]/tb_rechnungen[[#This Row],[Netto]],2),"")</f>
        <v/>
      </c>
    </row>
    <row r="344" hidden="1">
      <c r="A344" s="26" t="n">
        <v>46008</v>
      </c>
      <c r="B344" s="27" t="inlineStr">
        <is>
          <t xml:space="preserve">Sage  </t>
        </is>
      </c>
      <c r="C344" s="28" t="inlineStr">
        <is>
          <t>2026-1065337</t>
        </is>
      </c>
      <c r="D344" s="28" t="inlineStr">
        <is>
          <t>E</t>
        </is>
      </c>
      <c r="E344" s="27" t="inlineStr">
        <is>
          <t>Sage100 2Benutzer RHA</t>
        </is>
      </c>
      <c r="F344" s="29" t="n">
        <v>641</v>
      </c>
      <c r="G344" s="29" t="n">
        <v>762.79</v>
      </c>
      <c r="H344" s="30" t="inlineStr">
        <is>
          <t>EX</t>
        </is>
      </c>
      <c r="I344" s="30" t="inlineStr">
        <is>
          <t>Z</t>
        </is>
      </c>
      <c r="J344" s="30" t="inlineStr">
        <is>
          <t>M</t>
        </is>
      </c>
      <c r="K344" s="50" t="n">
        <v>46054</v>
      </c>
      <c r="L344" s="50" t="n"/>
      <c r="M344" s="67" t="n"/>
      <c r="N344" s="30" t="n"/>
      <c r="O344" s="12">
        <f>IF(tb_rechnungen[[#This Row],[Re-Datum]]&gt;0,MONTH(tb_rechnungen[[#This Row],[Re-Datum]]),"")</f>
        <v/>
      </c>
      <c r="P344" s="13">
        <f>IF(tb_rechnungen[[#This Row],[Re-Datum]]&gt;0,YEAR(tb_rechnungen[[#This Row],[Re-Datum]]),"")</f>
        <v/>
      </c>
      <c r="Q344" s="19">
        <f>IF(tb_rechnungen[[#This Row],[Brutto]]&lt;&gt;0,tb_rechnungen[[#This Row],[Brutto]]-tb_rechnungen[[#This Row],[Netto]],"")</f>
        <v/>
      </c>
      <c r="R344" s="37">
        <f>IF(tb_rechnungen[[#This Row],[Netto]]&lt;&gt;0,ROUND(tb_rechnungen[[#This Row],[Steuer]]/tb_rechnungen[[#This Row],[Netto]],2),"")</f>
        <v/>
      </c>
    </row>
    <row r="345" hidden="1">
      <c r="A345" s="26" t="n">
        <v>46008</v>
      </c>
      <c r="B345" s="27" t="inlineStr">
        <is>
          <t>Anthropic</t>
        </is>
      </c>
      <c r="C345" s="35" t="inlineStr">
        <is>
          <t>JOH4P0JW-0004</t>
        </is>
      </c>
      <c r="D345" s="28" t="inlineStr">
        <is>
          <t>K</t>
        </is>
      </c>
      <c r="E345" s="27" t="inlineStr">
        <is>
          <t>Claude.AI</t>
        </is>
      </c>
      <c r="F345" s="29" t="n">
        <v>18</v>
      </c>
      <c r="G345" s="29" t="n">
        <v>18</v>
      </c>
      <c r="H345" s="30" t="inlineStr">
        <is>
          <t>X</t>
        </is>
      </c>
      <c r="I345" s="30" t="inlineStr">
        <is>
          <t>A</t>
        </is>
      </c>
      <c r="J345" s="30" t="inlineStr">
        <is>
          <t>M</t>
        </is>
      </c>
      <c r="K345" s="50" t="n"/>
      <c r="L345" s="50" t="n"/>
      <c r="M345" s="67" t="n"/>
      <c r="N345" s="30" t="inlineStr">
        <is>
          <t>FX</t>
        </is>
      </c>
      <c r="O345" s="12">
        <f>IF(tb_rechnungen[[#This Row],[Re-Datum]]&gt;0,MONTH(tb_rechnungen[[#This Row],[Re-Datum]]),"")</f>
        <v/>
      </c>
      <c r="P345" s="13">
        <f>IF(tb_rechnungen[[#This Row],[Re-Datum]]&gt;0,YEAR(tb_rechnungen[[#This Row],[Re-Datum]]),"")</f>
        <v/>
      </c>
      <c r="Q345" s="19">
        <f>IF(tb_rechnungen[[#This Row],[Brutto]]&lt;&gt;0,tb_rechnungen[[#This Row],[Brutto]]-tb_rechnungen[[#This Row],[Netto]],"")</f>
        <v/>
      </c>
      <c r="R345" s="37">
        <f>IF(tb_rechnungen[[#This Row],[Netto]]&lt;&gt;0,ROUND(tb_rechnungen[[#This Row],[Steuer]]/tb_rechnungen[[#This Row],[Netto]],2),"")</f>
        <v/>
      </c>
    </row>
    <row r="346" hidden="1">
      <c r="A346" s="26" t="n">
        <v>46009</v>
      </c>
      <c r="B346" s="27" t="inlineStr">
        <is>
          <t>Wolkesicher</t>
        </is>
      </c>
      <c r="C346" s="28" t="inlineStr">
        <is>
          <t>R5406225</t>
        </is>
      </c>
      <c r="D346" s="28" t="inlineStr">
        <is>
          <t>K</t>
        </is>
      </c>
      <c r="E346" s="27" t="inlineStr">
        <is>
          <t>nc2.uhde.de Bis 31.01.2026</t>
        </is>
      </c>
      <c r="F346" s="29" t="n">
        <v>4.19</v>
      </c>
      <c r="G346" s="29" t="n">
        <v>4.99</v>
      </c>
      <c r="H346" s="30" t="inlineStr">
        <is>
          <t>EX</t>
        </is>
      </c>
      <c r="I346" s="30" t="inlineStr">
        <is>
          <t>A</t>
        </is>
      </c>
      <c r="J346" s="30" t="inlineStr">
        <is>
          <t>M</t>
        </is>
      </c>
      <c r="K346" s="50" t="n">
        <v>46024</v>
      </c>
      <c r="L346" s="50" t="n"/>
      <c r="M346" s="67" t="n"/>
      <c r="N346" s="30" t="n"/>
      <c r="O346" s="12">
        <f>IF(tb_rechnungen[[#This Row],[Re-Datum]]&gt;0,MONTH(tb_rechnungen[[#This Row],[Re-Datum]]),"")</f>
        <v/>
      </c>
      <c r="P346" s="13">
        <f>IF(tb_rechnungen[[#This Row],[Re-Datum]]&gt;0,YEAR(tb_rechnungen[[#This Row],[Re-Datum]]),"")</f>
        <v/>
      </c>
      <c r="Q346" s="19">
        <f>IF(tb_rechnungen[[#This Row],[Brutto]]&lt;&gt;0,tb_rechnungen[[#This Row],[Brutto]]-tb_rechnungen[[#This Row],[Netto]],"")</f>
        <v/>
      </c>
      <c r="R346" s="37">
        <f>IF(tb_rechnungen[[#This Row],[Netto]]&lt;&gt;0,ROUND(tb_rechnungen[[#This Row],[Steuer]]/tb_rechnungen[[#This Row],[Netto]],2),"")</f>
        <v/>
      </c>
    </row>
    <row r="347" hidden="1">
      <c r="A347" s="26" t="n">
        <v>46010</v>
      </c>
      <c r="B347" s="27" t="inlineStr">
        <is>
          <t>DKV</t>
        </is>
      </c>
      <c r="C347" s="28" t="inlineStr">
        <is>
          <t>25-648362686-001</t>
        </is>
      </c>
      <c r="D347" s="28" t="inlineStr">
        <is>
          <t xml:space="preserve">K </t>
        </is>
      </c>
      <c r="E347" s="27" t="inlineStr">
        <is>
          <t>Dezember</t>
        </is>
      </c>
      <c r="F347" s="29" t="n">
        <v>125.98</v>
      </c>
      <c r="G347" s="29" t="n">
        <v>149.92</v>
      </c>
      <c r="H347" s="30" t="inlineStr">
        <is>
          <t>EX</t>
        </is>
      </c>
      <c r="I347" s="30" t="inlineStr">
        <is>
          <t>A</t>
        </is>
      </c>
      <c r="J347" s="30" t="inlineStr">
        <is>
          <t>M</t>
        </is>
      </c>
      <c r="K347" s="50" t="n">
        <v>46020</v>
      </c>
      <c r="L347" s="50" t="n"/>
      <c r="M347" s="67" t="n"/>
      <c r="N347" s="30" t="n"/>
      <c r="O347" s="12">
        <f>IF(tb_rechnungen[[#This Row],[Re-Datum]]&gt;0,MONTH(tb_rechnungen[[#This Row],[Re-Datum]]),"")</f>
        <v/>
      </c>
      <c r="P347" s="13">
        <f>IF(tb_rechnungen[[#This Row],[Re-Datum]]&gt;0,YEAR(tb_rechnungen[[#This Row],[Re-Datum]]),"")</f>
        <v/>
      </c>
      <c r="Q347" s="19">
        <f>IF(tb_rechnungen[[#This Row],[Brutto]]&lt;&gt;0,tb_rechnungen[[#This Row],[Brutto]]-tb_rechnungen[[#This Row],[Netto]],"")</f>
        <v/>
      </c>
      <c r="R347" s="37">
        <f>IF(tb_rechnungen[[#This Row],[Netto]]&lt;&gt;0,ROUND(tb_rechnungen[[#This Row],[Steuer]]/tb_rechnungen[[#This Row],[Netto]],2),"")</f>
        <v/>
      </c>
    </row>
    <row r="348" hidden="1">
      <c r="A348" s="26" t="n">
        <v>46014</v>
      </c>
      <c r="B348" s="27" t="inlineStr">
        <is>
          <t>Telekom</t>
        </is>
      </c>
      <c r="C348" s="28" t="inlineStr">
        <is>
          <t>R7209664857</t>
        </is>
      </c>
      <c r="D348" s="28" t="inlineStr">
        <is>
          <t>K</t>
        </is>
      </c>
      <c r="E348" s="27" t="inlineStr">
        <is>
          <t>Büro LU Januar</t>
        </is>
      </c>
      <c r="F348" s="29" t="n">
        <v>39.9</v>
      </c>
      <c r="G348" s="29" t="n">
        <v>47.48</v>
      </c>
      <c r="H348" s="30" t="inlineStr">
        <is>
          <t>EX</t>
        </is>
      </c>
      <c r="I348" s="30" t="inlineStr">
        <is>
          <t>A</t>
        </is>
      </c>
      <c r="J348" s="30" t="inlineStr">
        <is>
          <t>M</t>
        </is>
      </c>
      <c r="K348" s="50" t="n">
        <v>46030</v>
      </c>
      <c r="L348" s="50" t="n"/>
      <c r="M348" s="67" t="n"/>
      <c r="N348" s="30" t="n"/>
      <c r="O348" s="12">
        <f>IF(tb_rechnungen[[#This Row],[Re-Datum]]&gt;0,MONTH(tb_rechnungen[[#This Row],[Re-Datum]]),"")</f>
        <v/>
      </c>
      <c r="P348" s="13">
        <f>IF(tb_rechnungen[[#This Row],[Re-Datum]]&gt;0,YEAR(tb_rechnungen[[#This Row],[Re-Datum]]),"")</f>
        <v/>
      </c>
      <c r="Q348" s="19">
        <f>IF(tb_rechnungen[[#This Row],[Brutto]]&lt;&gt;0,tb_rechnungen[[#This Row],[Brutto]]-tb_rechnungen[[#This Row],[Netto]],"")</f>
        <v/>
      </c>
      <c r="R348" s="37">
        <f>IF(tb_rechnungen[[#This Row],[Netto]]&lt;&gt;0,ROUND(tb_rechnungen[[#This Row],[Steuer]]/tb_rechnungen[[#This Row],[Netto]],2),"")</f>
        <v/>
      </c>
    </row>
    <row r="349" hidden="1">
      <c r="A349" s="26" t="n">
        <v>46014</v>
      </c>
      <c r="B349" s="27" t="inlineStr">
        <is>
          <t>BFS finance GmbH</t>
        </is>
      </c>
      <c r="C349" s="28" t="inlineStr">
        <is>
          <t>FI14612210</t>
        </is>
      </c>
      <c r="D349" s="28" t="inlineStr">
        <is>
          <t>K1</t>
        </is>
      </c>
      <c r="E349" s="27" t="inlineStr">
        <is>
          <t>Ubiqity Controller &amp; Wartumgskit Brother</t>
        </is>
      </c>
      <c r="F349" s="29" t="n">
        <v>138.99</v>
      </c>
      <c r="G349" s="29" t="n">
        <v>165.4</v>
      </c>
      <c r="H349" s="30" t="inlineStr">
        <is>
          <t>UX</t>
        </is>
      </c>
      <c r="I349" s="30" t="inlineStr">
        <is>
          <t>Z</t>
        </is>
      </c>
      <c r="J349" s="30" t="n"/>
      <c r="K349" s="50" t="n">
        <v>46045</v>
      </c>
      <c r="L349" s="50" t="inlineStr">
        <is>
          <t>API GmbH</t>
        </is>
      </c>
      <c r="M349" s="67" t="inlineStr">
        <is>
          <t>DE16478400804156727358</t>
        </is>
      </c>
      <c r="N349" s="30" t="n"/>
      <c r="O349" s="12">
        <f>IF(tb_rechnungen[[#This Row],[Re-Datum]]&gt;0,MONTH(tb_rechnungen[[#This Row],[Re-Datum]]),"")</f>
        <v/>
      </c>
      <c r="P349" s="13">
        <f>IF(tb_rechnungen[[#This Row],[Re-Datum]]&gt;0,YEAR(tb_rechnungen[[#This Row],[Re-Datum]]),"")</f>
        <v/>
      </c>
      <c r="Q349" s="19">
        <f>IF(tb_rechnungen[[#This Row],[Brutto]]&lt;&gt;0,tb_rechnungen[[#This Row],[Brutto]]-tb_rechnungen[[#This Row],[Netto]],"")</f>
        <v/>
      </c>
      <c r="R349" s="37">
        <f>IF(tb_rechnungen[[#This Row],[Netto]]&lt;&gt;0,ROUND(tb_rechnungen[[#This Row],[Steuer]]/tb_rechnungen[[#This Row],[Netto]],2),"")</f>
        <v/>
      </c>
    </row>
    <row r="350" hidden="1">
      <c r="A350" s="26" t="n">
        <v>46021</v>
      </c>
      <c r="B350" s="27" t="inlineStr">
        <is>
          <t>Haus&amp;Grund</t>
        </is>
      </c>
      <c r="C350" s="28" t="inlineStr">
        <is>
          <t>R30.12.20253006</t>
        </is>
      </c>
      <c r="D350" s="28" t="inlineStr">
        <is>
          <t>K1</t>
        </is>
      </c>
      <c r="E350" s="27" t="inlineStr">
        <is>
          <t>Nebenkostenabrechnung 2024</t>
        </is>
      </c>
      <c r="F350" s="29" t="n">
        <v>567.4299999999999</v>
      </c>
      <c r="G350" s="29" t="n">
        <v>567.4299999999999</v>
      </c>
      <c r="H350" s="30" t="inlineStr">
        <is>
          <t>UX</t>
        </is>
      </c>
      <c r="I350" s="30" t="inlineStr">
        <is>
          <t>Z</t>
        </is>
      </c>
      <c r="J350" s="30" t="n"/>
      <c r="K350" s="50" t="n">
        <v>46052</v>
      </c>
      <c r="L350" s="50" t="inlineStr">
        <is>
          <t>Wg-Nr 3006</t>
        </is>
      </c>
      <c r="M350" s="67" t="inlineStr">
        <is>
          <t>DE47545500100000071910</t>
        </is>
      </c>
      <c r="N350" s="30" t="n"/>
      <c r="O350" s="12">
        <f>IF(tb_rechnungen[[#This Row],[Re-Datum]]&gt;0,MONTH(tb_rechnungen[[#This Row],[Re-Datum]]),"")</f>
        <v/>
      </c>
      <c r="P350" s="13">
        <f>IF(tb_rechnungen[[#This Row],[Re-Datum]]&gt;0,YEAR(tb_rechnungen[[#This Row],[Re-Datum]]),"")</f>
        <v/>
      </c>
      <c r="Q350" s="19">
        <f>IF(tb_rechnungen[[#This Row],[Brutto]]&lt;&gt;0,tb_rechnungen[[#This Row],[Brutto]]-tb_rechnungen[[#This Row],[Netto]],"")</f>
        <v/>
      </c>
      <c r="R350" s="37">
        <f>IF(tb_rechnungen[[#This Row],[Netto]]&lt;&gt;0,ROUND(tb_rechnungen[[#This Row],[Steuer]]/tb_rechnungen[[#This Row],[Netto]],2),"")</f>
        <v/>
      </c>
    </row>
    <row r="351" hidden="1">
      <c r="A351" s="26" t="n">
        <v>46022</v>
      </c>
      <c r="B351" s="27" t="inlineStr">
        <is>
          <t>NFON</t>
        </is>
      </c>
      <c r="C351" s="28" t="inlineStr">
        <is>
          <t>25-13-146970</t>
        </is>
      </c>
      <c r="D351" s="28" t="inlineStr">
        <is>
          <t>K</t>
        </is>
      </c>
      <c r="E351" s="27" t="inlineStr">
        <is>
          <t>Dezember</t>
        </is>
      </c>
      <c r="F351" s="29" t="n">
        <v>28.29</v>
      </c>
      <c r="G351" s="29" t="n">
        <v>33.67</v>
      </c>
      <c r="H351" s="30" t="inlineStr">
        <is>
          <t>EX</t>
        </is>
      </c>
      <c r="I351" s="30" t="inlineStr">
        <is>
          <t>A</t>
        </is>
      </c>
      <c r="J351" s="30" t="n"/>
      <c r="K351" s="50" t="n">
        <v>46032</v>
      </c>
      <c r="L351" s="50" t="n"/>
      <c r="M351" s="67" t="n"/>
      <c r="N351" s="30" t="n"/>
      <c r="O351" s="12">
        <f>IF(tb_rechnungen[[#This Row],[Re-Datum]]&gt;0,MONTH(tb_rechnungen[[#This Row],[Re-Datum]]),"")</f>
        <v/>
      </c>
      <c r="P351" s="13">
        <f>IF(tb_rechnungen[[#This Row],[Re-Datum]]&gt;0,YEAR(tb_rechnungen[[#This Row],[Re-Datum]]),"")</f>
        <v/>
      </c>
      <c r="Q351" s="19">
        <f>IF(tb_rechnungen[[#This Row],[Brutto]]&lt;&gt;0,tb_rechnungen[[#This Row],[Brutto]]-tb_rechnungen[[#This Row],[Netto]],"")</f>
        <v/>
      </c>
      <c r="R351" s="37">
        <f>IF(tb_rechnungen[[#This Row],[Netto]]&lt;&gt;0,ROUND(tb_rechnungen[[#This Row],[Steuer]]/tb_rechnungen[[#This Row],[Netto]],2),"")</f>
        <v/>
      </c>
    </row>
    <row r="352" hidden="1">
      <c r="A352" s="26" t="n">
        <v>46022</v>
      </c>
      <c r="B352" s="27" t="inlineStr">
        <is>
          <t>DKV</t>
        </is>
      </c>
      <c r="C352" s="28" t="inlineStr">
        <is>
          <t>25-648807063-001</t>
        </is>
      </c>
      <c r="D352" s="28" t="inlineStr">
        <is>
          <t>K</t>
        </is>
      </c>
      <c r="E352" s="27" t="inlineStr">
        <is>
          <t>Dezember</t>
        </is>
      </c>
      <c r="F352" s="29" t="n">
        <v>151.88</v>
      </c>
      <c r="G352" s="29" t="n">
        <v>180.74</v>
      </c>
      <c r="H352" s="30" t="inlineStr">
        <is>
          <t>EX</t>
        </is>
      </c>
      <c r="I352" s="30" t="inlineStr">
        <is>
          <t>A</t>
        </is>
      </c>
      <c r="J352" s="30" t="n"/>
      <c r="K352" s="50" t="n">
        <v>46034</v>
      </c>
      <c r="L352" s="50" t="n"/>
      <c r="M352" s="67" t="n"/>
      <c r="N352" s="30" t="n"/>
      <c r="O352" s="12">
        <f>IF(tb_rechnungen[[#This Row],[Re-Datum]]&gt;0,MONTH(tb_rechnungen[[#This Row],[Re-Datum]]),"")</f>
        <v/>
      </c>
      <c r="P352" s="13">
        <f>IF(tb_rechnungen[[#This Row],[Re-Datum]]&gt;0,YEAR(tb_rechnungen[[#This Row],[Re-Datum]]),"")</f>
        <v/>
      </c>
      <c r="Q352" s="19">
        <f>IF(tb_rechnungen[[#This Row],[Brutto]]&lt;&gt;0,tb_rechnungen[[#This Row],[Brutto]]-tb_rechnungen[[#This Row],[Netto]],"")</f>
        <v/>
      </c>
      <c r="R352" s="37">
        <f>IF(tb_rechnungen[[#This Row],[Netto]]&lt;&gt;0,ROUND(tb_rechnungen[[#This Row],[Steuer]]/tb_rechnungen[[#This Row],[Netto]],2),"")</f>
        <v/>
      </c>
    </row>
    <row r="353">
      <c r="A353" s="26" t="n">
        <v>46023</v>
      </c>
      <c r="B353" s="27" t="inlineStr">
        <is>
          <t>FinBC</t>
        </is>
      </c>
      <c r="C353" s="28" t="inlineStr">
        <is>
          <t>SJMAOFZB-0006</t>
        </is>
      </c>
      <c r="D353" s="28" t="inlineStr">
        <is>
          <t>E</t>
        </is>
      </c>
      <c r="E353" s="27" t="inlineStr">
        <is>
          <t>rechnungsapi.de 12/2025</t>
        </is>
      </c>
      <c r="F353" s="29" t="n">
        <v>8.390000000000001</v>
      </c>
      <c r="G353" s="29" t="n">
        <v>9.99</v>
      </c>
      <c r="H353" s="30" t="inlineStr">
        <is>
          <t>EX</t>
        </is>
      </c>
      <c r="I353" s="30" t="inlineStr">
        <is>
          <t>K</t>
        </is>
      </c>
      <c r="J353" s="31" t="n"/>
      <c r="K353" s="50" t="n">
        <v>46023</v>
      </c>
      <c r="L353" s="50" t="n"/>
      <c r="M353" s="67" t="n"/>
      <c r="N353" s="30" t="inlineStr">
        <is>
          <t>FX</t>
        </is>
      </c>
      <c r="O353" s="12">
        <f>IF(tb_rechnungen[[#This Row],[Re-Datum]]&gt;0,MONTH(tb_rechnungen[[#This Row],[Re-Datum]]),"")</f>
        <v/>
      </c>
      <c r="P353" s="13">
        <f>IF(tb_rechnungen[[#This Row],[Re-Datum]]&gt;0,YEAR(tb_rechnungen[[#This Row],[Re-Datum]]),"")</f>
        <v/>
      </c>
      <c r="Q353" s="19">
        <f>IF(tb_rechnungen[[#This Row],[Brutto]]&lt;&gt;0,tb_rechnungen[[#This Row],[Brutto]]-tb_rechnungen[[#This Row],[Netto]],"")</f>
        <v/>
      </c>
      <c r="R353" s="37">
        <f>IF(tb_rechnungen[[#This Row],[Netto]]&lt;&gt;0,ROUND(tb_rechnungen[[#This Row],[Steuer]]/tb_rechnungen[[#This Row],[Netto]],2),"")</f>
        <v/>
      </c>
    </row>
    <row r="354">
      <c r="A354" s="26" t="n">
        <v>46024</v>
      </c>
      <c r="B354" s="27" t="inlineStr">
        <is>
          <t>Apptec360</t>
        </is>
      </c>
      <c r="C354" s="28" t="inlineStr">
        <is>
          <t>RE-2026-1-27064</t>
        </is>
      </c>
      <c r="D354" s="28" t="inlineStr">
        <is>
          <t>E</t>
        </is>
      </c>
      <c r="E354" s="27" t="inlineStr">
        <is>
          <t>Apptec360 01.01.2026 - 31.12.2026 BLK</t>
        </is>
      </c>
      <c r="F354" s="29" t="n">
        <v>2864.4</v>
      </c>
      <c r="G354" s="29" t="n">
        <v>2864.4</v>
      </c>
      <c r="H354" s="30" t="inlineStr">
        <is>
          <t>UX</t>
        </is>
      </c>
      <c r="I354" s="30" t="inlineStr">
        <is>
          <t>Z</t>
        </is>
      </c>
      <c r="J354" s="30" t="n"/>
      <c r="K354" s="50" t="n">
        <v>46036</v>
      </c>
      <c r="L354" s="50" t="n"/>
      <c r="M354" s="67" t="inlineStr">
        <is>
          <t>CH940023323311007760V</t>
        </is>
      </c>
      <c r="N354" s="30" t="n"/>
      <c r="O354" s="12">
        <f>IF(tb_rechnungen[[#This Row],[Re-Datum]]&gt;0,MONTH(tb_rechnungen[[#This Row],[Re-Datum]]),"")</f>
        <v/>
      </c>
      <c r="P354" s="13">
        <f>IF(tb_rechnungen[[#This Row],[Re-Datum]]&gt;0,YEAR(tb_rechnungen[[#This Row],[Re-Datum]]),"")</f>
        <v/>
      </c>
      <c r="Q354" s="19">
        <f>IF(tb_rechnungen[[#This Row],[Brutto]]&lt;&gt;0,tb_rechnungen[[#This Row],[Brutto]]-tb_rechnungen[[#This Row],[Netto]],"")</f>
        <v/>
      </c>
      <c r="R354" s="37">
        <f>IF(tb_rechnungen[[#This Row],[Netto]]&lt;&gt;0,ROUND(tb_rechnungen[[#This Row],[Steuer]]/tb_rechnungen[[#This Row],[Netto]],2),"")</f>
        <v/>
      </c>
    </row>
    <row r="355">
      <c r="A355" s="26" t="n">
        <v>46023</v>
      </c>
      <c r="B355" s="27" t="inlineStr">
        <is>
          <t>VW Leasing</t>
        </is>
      </c>
      <c r="C355" s="28" t="inlineStr">
        <is>
          <t>R10258317879</t>
        </is>
      </c>
      <c r="D355" s="28" t="inlineStr">
        <is>
          <t>K</t>
        </is>
      </c>
      <c r="E355" s="27" t="inlineStr">
        <is>
          <t>Monat 01/2026</t>
        </is>
      </c>
      <c r="F355" s="29" t="n">
        <v>37.43</v>
      </c>
      <c r="G355" s="29" t="n">
        <v>44.54</v>
      </c>
      <c r="H355" s="30" t="inlineStr">
        <is>
          <t>EX</t>
        </is>
      </c>
      <c r="I355" s="30" t="inlineStr">
        <is>
          <t>A</t>
        </is>
      </c>
      <c r="J355" s="31" t="n"/>
      <c r="K355" s="50" t="n">
        <v>46030</v>
      </c>
      <c r="L355" s="50" t="n"/>
      <c r="M355" s="67" t="n"/>
      <c r="N355" s="30" t="n"/>
      <c r="O355" s="12">
        <f>IF(tb_rechnungen[[#This Row],[Re-Datum]]&gt;0,MONTH(tb_rechnungen[[#This Row],[Re-Datum]]),"")</f>
        <v/>
      </c>
      <c r="P355" s="13">
        <f>IF(tb_rechnungen[[#This Row],[Re-Datum]]&gt;0,YEAR(tb_rechnungen[[#This Row],[Re-Datum]]),"")</f>
        <v/>
      </c>
      <c r="Q355" s="19">
        <f>IF(tb_rechnungen[[#This Row],[Brutto]]&lt;&gt;0,tb_rechnungen[[#This Row],[Brutto]]-tb_rechnungen[[#This Row],[Netto]],"")</f>
        <v/>
      </c>
      <c r="R355" s="37">
        <f>IF(tb_rechnungen[[#This Row],[Netto]]&lt;&gt;0,ROUND(tb_rechnungen[[#This Row],[Steuer]]/tb_rechnungen[[#This Row],[Netto]],2),"")</f>
        <v/>
      </c>
    </row>
    <row r="356">
      <c r="A356" s="26" t="n">
        <v>46023</v>
      </c>
      <c r="B356" s="27" t="inlineStr">
        <is>
          <t>Splashtop</t>
        </is>
      </c>
      <c r="C356" s="28" t="inlineStr">
        <is>
          <t>02TP260101978042</t>
        </is>
      </c>
      <c r="D356" s="28" t="inlineStr">
        <is>
          <t>E</t>
        </is>
      </c>
      <c r="E356" s="27" t="inlineStr">
        <is>
          <t>Splashtop 3User</t>
        </is>
      </c>
      <c r="F356" s="29" t="n">
        <v>405</v>
      </c>
      <c r="G356" s="29" t="n">
        <v>405</v>
      </c>
      <c r="H356" s="30" t="inlineStr">
        <is>
          <t>EX</t>
        </is>
      </c>
      <c r="I356" s="30" t="inlineStr">
        <is>
          <t>A</t>
        </is>
      </c>
      <c r="J356" s="30" t="n"/>
      <c r="K356" s="50" t="n">
        <v>46027</v>
      </c>
      <c r="L356" s="50" t="n"/>
      <c r="M356" s="67" t="n"/>
      <c r="N356" s="30" t="n"/>
      <c r="O356" s="12">
        <f>IF(tb_rechnungen[[#This Row],[Re-Datum]]&gt;0,MONTH(tb_rechnungen[[#This Row],[Re-Datum]]),"")</f>
        <v/>
      </c>
      <c r="P356" s="13">
        <f>IF(tb_rechnungen[[#This Row],[Re-Datum]]&gt;0,YEAR(tb_rechnungen[[#This Row],[Re-Datum]]),"")</f>
        <v/>
      </c>
      <c r="Q356" s="19">
        <f>IF(tb_rechnungen[[#This Row],[Brutto]]&lt;&gt;0,tb_rechnungen[[#This Row],[Brutto]]-tb_rechnungen[[#This Row],[Netto]],"")</f>
        <v/>
      </c>
      <c r="R356" s="37">
        <f>IF(tb_rechnungen[[#This Row],[Netto]]&lt;&gt;0,ROUND(tb_rechnungen[[#This Row],[Steuer]]/tb_rechnungen[[#This Row],[Netto]],2),"")</f>
        <v/>
      </c>
    </row>
    <row r="357">
      <c r="A357" s="26" t="n">
        <v>46026</v>
      </c>
      <c r="B357" s="27" t="inlineStr">
        <is>
          <t>GS1 Aisbl</t>
        </is>
      </c>
      <c r="C357" s="28" t="inlineStr">
        <is>
          <t>2026-120660</t>
        </is>
      </c>
      <c r="D357" s="28" t="inlineStr">
        <is>
          <t>K</t>
        </is>
      </c>
      <c r="E357" s="27" t="inlineStr">
        <is>
          <t>LEI.Direct gebühr 2026</t>
        </is>
      </c>
      <c r="F357" s="29" t="n">
        <v>59</v>
      </c>
      <c r="G357" s="29" t="n">
        <v>59</v>
      </c>
      <c r="H357" s="30" t="inlineStr">
        <is>
          <t>EX</t>
        </is>
      </c>
      <c r="I357" s="30" t="inlineStr">
        <is>
          <t>K</t>
        </is>
      </c>
      <c r="J357" s="30" t="n"/>
      <c r="K357" s="50" t="n">
        <v>46026</v>
      </c>
      <c r="L357" s="50" t="n"/>
      <c r="M357" s="67" t="n"/>
      <c r="N357" s="30" t="inlineStr">
        <is>
          <t>FX</t>
        </is>
      </c>
      <c r="O357" s="12">
        <f>IF(tb_rechnungen[[#This Row],[Re-Datum]]&gt;0,MONTH(tb_rechnungen[[#This Row],[Re-Datum]]),"")</f>
        <v/>
      </c>
      <c r="P357" s="13">
        <f>IF(tb_rechnungen[[#This Row],[Re-Datum]]&gt;0,YEAR(tb_rechnungen[[#This Row],[Re-Datum]]),"")</f>
        <v/>
      </c>
      <c r="Q357" s="19">
        <f>IF(tb_rechnungen[[#This Row],[Brutto]]&lt;&gt;0,tb_rechnungen[[#This Row],[Brutto]]-tb_rechnungen[[#This Row],[Netto]],"")</f>
        <v/>
      </c>
      <c r="R357" s="37">
        <f>IF(tb_rechnungen[[#This Row],[Netto]]&lt;&gt;0,ROUND(tb_rechnungen[[#This Row],[Steuer]]/tb_rechnungen[[#This Row],[Netto]],2),"")</f>
        <v/>
      </c>
    </row>
    <row r="358">
      <c r="A358" s="26" t="n">
        <v>46027</v>
      </c>
      <c r="B358" s="27" t="inlineStr">
        <is>
          <t>BFS Finance GmbH</t>
        </is>
      </c>
      <c r="C358" s="28" t="inlineStr">
        <is>
          <t>R14684526</t>
        </is>
      </c>
      <c r="D358" s="28" t="inlineStr">
        <is>
          <t>E</t>
        </is>
      </c>
      <c r="E358" s="27" t="inlineStr">
        <is>
          <t>2 x USB-WLAN</t>
        </is>
      </c>
      <c r="F358" s="29">
        <f>19.8+1.8+6.5+3.75</f>
        <v/>
      </c>
      <c r="G358" s="29" t="n">
        <v>37.9</v>
      </c>
      <c r="H358" s="30" t="inlineStr">
        <is>
          <t>UX</t>
        </is>
      </c>
      <c r="I358" s="30" t="inlineStr">
        <is>
          <t>Z</t>
        </is>
      </c>
      <c r="J358" s="30" t="n"/>
      <c r="K358" s="50" t="n">
        <v>46057</v>
      </c>
      <c r="L358" s="50" t="inlineStr">
        <is>
          <t>API GmbH</t>
        </is>
      </c>
      <c r="M358" s="67" t="inlineStr">
        <is>
          <t>DE16478400804156727358</t>
        </is>
      </c>
      <c r="N358" s="30" t="n"/>
      <c r="O358" s="12">
        <f>IF(tb_rechnungen[[#This Row],[Re-Datum]]&gt;0,MONTH(tb_rechnungen[[#This Row],[Re-Datum]]),"")</f>
        <v/>
      </c>
      <c r="P358" s="13">
        <f>IF(tb_rechnungen[[#This Row],[Re-Datum]]&gt;0,YEAR(tb_rechnungen[[#This Row],[Re-Datum]]),"")</f>
        <v/>
      </c>
      <c r="Q358" s="19">
        <f>IF(tb_rechnungen[[#This Row],[Brutto]]&lt;&gt;0,tb_rechnungen[[#This Row],[Brutto]]-tb_rechnungen[[#This Row],[Netto]],"")</f>
        <v/>
      </c>
      <c r="R358" s="37">
        <f>IF(tb_rechnungen[[#This Row],[Netto]]&lt;&gt;0,ROUND(tb_rechnungen[[#This Row],[Steuer]]/tb_rechnungen[[#This Row],[Netto]],2),"")</f>
        <v/>
      </c>
    </row>
    <row r="359">
      <c r="A359" s="26" t="n">
        <v>46027</v>
      </c>
      <c r="B359" s="27" t="inlineStr">
        <is>
          <t>OPenAI</t>
        </is>
      </c>
      <c r="C359" s="28" t="inlineStr">
        <is>
          <t>7J06MMBJ-0009</t>
        </is>
      </c>
      <c r="D359" s="28" t="inlineStr">
        <is>
          <t>K</t>
        </is>
      </c>
      <c r="E359" s="27" t="inlineStr">
        <is>
          <t>Januar 20$</t>
        </is>
      </c>
      <c r="F359" s="29" t="n">
        <v>17.08</v>
      </c>
      <c r="G359" s="29" t="n">
        <v>17.08</v>
      </c>
      <c r="H359" s="30" t="inlineStr">
        <is>
          <t>EX</t>
        </is>
      </c>
      <c r="I359" s="30" t="inlineStr">
        <is>
          <t>A</t>
        </is>
      </c>
      <c r="J359" s="30" t="n"/>
      <c r="K359" s="50" t="n">
        <v>46027</v>
      </c>
      <c r="L359" s="50" t="inlineStr">
        <is>
          <t>ChatGPT</t>
        </is>
      </c>
      <c r="M359" s="67" t="n"/>
      <c r="N359" s="30" t="inlineStr">
        <is>
          <t>FX</t>
        </is>
      </c>
      <c r="O359" s="12">
        <f>IF(tb_rechnungen[[#This Row],[Re-Datum]]&gt;0,MONTH(tb_rechnungen[[#This Row],[Re-Datum]]),"")</f>
        <v/>
      </c>
      <c r="P359" s="13">
        <f>IF(tb_rechnungen[[#This Row],[Re-Datum]]&gt;0,YEAR(tb_rechnungen[[#This Row],[Re-Datum]]),"")</f>
        <v/>
      </c>
      <c r="Q359" s="19">
        <f>IF(tb_rechnungen[[#This Row],[Brutto]]&lt;&gt;0,tb_rechnungen[[#This Row],[Brutto]]-tb_rechnungen[[#This Row],[Netto]],"")</f>
        <v/>
      </c>
      <c r="R359" s="37">
        <f>IF(tb_rechnungen[[#This Row],[Netto]]&lt;&gt;0,ROUND(tb_rechnungen[[#This Row],[Steuer]]/tb_rechnungen[[#This Row],[Netto]],2),"")</f>
        <v/>
      </c>
    </row>
    <row r="360">
      <c r="A360" s="26" t="n">
        <v>46023</v>
      </c>
      <c r="B360" s="27" t="inlineStr">
        <is>
          <t>FP Digital</t>
        </is>
      </c>
      <c r="C360" s="28" t="inlineStr">
        <is>
          <t>CBR-20260101-18560</t>
        </is>
      </c>
      <c r="D360" s="28" t="inlineStr">
        <is>
          <t>E</t>
        </is>
      </c>
      <c r="E360" s="27" t="inlineStr">
        <is>
          <t>FP Sign Business Benutzerlizenz</t>
        </is>
      </c>
      <c r="F360" s="29" t="n">
        <v>335.16</v>
      </c>
      <c r="G360" s="29" t="n">
        <v>398.84</v>
      </c>
      <c r="H360" s="30" t="inlineStr">
        <is>
          <t>UX</t>
        </is>
      </c>
      <c r="I360" s="30" t="inlineStr">
        <is>
          <t>Z</t>
        </is>
      </c>
      <c r="J360" s="30" t="n"/>
      <c r="K360" s="50" t="n">
        <v>46036</v>
      </c>
      <c r="L360" s="50" t="n"/>
      <c r="M360" s="67" t="inlineStr">
        <is>
          <t>DE03100100100859931106</t>
        </is>
      </c>
      <c r="N360" s="30" t="n"/>
      <c r="O360" s="12">
        <f>IF(tb_rechnungen[[#This Row],[Re-Datum]]&gt;0,MONTH(tb_rechnungen[[#This Row],[Re-Datum]]),"")</f>
        <v/>
      </c>
      <c r="P360" s="13">
        <f>IF(tb_rechnungen[[#This Row],[Re-Datum]]&gt;0,YEAR(tb_rechnungen[[#This Row],[Re-Datum]]),"")</f>
        <v/>
      </c>
      <c r="Q360" s="19">
        <f>IF(tb_rechnungen[[#This Row],[Brutto]]&lt;&gt;0,tb_rechnungen[[#This Row],[Brutto]]-tb_rechnungen[[#This Row],[Netto]],"")</f>
        <v/>
      </c>
      <c r="R360" s="37">
        <f>IF(tb_rechnungen[[#This Row],[Netto]]&lt;&gt;0,ROUND(tb_rechnungen[[#This Row],[Steuer]]/tb_rechnungen[[#This Row],[Netto]],2),"")</f>
        <v/>
      </c>
    </row>
    <row r="361">
      <c r="A361" s="26" t="n">
        <v>46034</v>
      </c>
      <c r="B361" s="27" t="inlineStr">
        <is>
          <t>Ratiokontakt</t>
        </is>
      </c>
      <c r="C361" s="28" t="inlineStr">
        <is>
          <t>R10895589</t>
        </is>
      </c>
      <c r="D361" s="28" t="inlineStr">
        <is>
          <t>E</t>
        </is>
      </c>
      <c r="E361" s="27" t="inlineStr">
        <is>
          <t>ResellerWeb bis 16.01.2026</t>
        </is>
      </c>
      <c r="F361" s="29" t="n">
        <v>29.9</v>
      </c>
      <c r="G361" s="29" t="n">
        <v>35.58</v>
      </c>
      <c r="H361" s="30" t="inlineStr">
        <is>
          <t>EX</t>
        </is>
      </c>
      <c r="I361" s="30" t="inlineStr">
        <is>
          <t>Z</t>
        </is>
      </c>
      <c r="J361" s="30" t="n"/>
      <c r="K361" s="50" t="n">
        <v>46038</v>
      </c>
      <c r="L361" s="50" t="n"/>
      <c r="M361" s="67" t="n"/>
      <c r="N361" s="30" t="n"/>
      <c r="O361" s="12">
        <f>IF(tb_rechnungen[[#This Row],[Re-Datum]]&gt;0,MONTH(tb_rechnungen[[#This Row],[Re-Datum]]),"")</f>
        <v/>
      </c>
      <c r="P361" s="13">
        <f>IF(tb_rechnungen[[#This Row],[Re-Datum]]&gt;0,YEAR(tb_rechnungen[[#This Row],[Re-Datum]]),"")</f>
        <v/>
      </c>
      <c r="Q361" s="19">
        <f>IF(tb_rechnungen[[#This Row],[Brutto]]&lt;&gt;0,tb_rechnungen[[#This Row],[Brutto]]-tb_rechnungen[[#This Row],[Netto]],"")</f>
        <v/>
      </c>
      <c r="R361" s="37">
        <f>IF(tb_rechnungen[[#This Row],[Netto]]&lt;&gt;0,ROUND(tb_rechnungen[[#This Row],[Steuer]]/tb_rechnungen[[#This Row],[Netto]],2),"")</f>
        <v/>
      </c>
    </row>
    <row r="362">
      <c r="A362" s="26" t="n">
        <v>46034</v>
      </c>
      <c r="B362" s="27" t="inlineStr">
        <is>
          <t>FourJs</t>
        </is>
      </c>
      <c r="C362" s="28" t="inlineStr">
        <is>
          <t>SI001248</t>
        </is>
      </c>
      <c r="D362" s="28" t="inlineStr">
        <is>
          <t>E</t>
        </is>
      </c>
      <c r="E362" s="27" t="inlineStr">
        <is>
          <t>FourJs Wartung 2026</t>
        </is>
      </c>
      <c r="F362" s="29" t="n">
        <v>4575.2</v>
      </c>
      <c r="G362" s="29" t="n">
        <v>4575.2</v>
      </c>
      <c r="H362" s="30" t="inlineStr">
        <is>
          <t>UX</t>
        </is>
      </c>
      <c r="I362" s="30" t="inlineStr">
        <is>
          <t>Z</t>
        </is>
      </c>
      <c r="J362" s="30" t="n"/>
      <c r="K362" s="50" t="n">
        <v>46036</v>
      </c>
      <c r="L362" s="50" t="n"/>
      <c r="M362" s="67" t="inlineStr">
        <is>
          <t>IE27AIBK93312005082026</t>
        </is>
      </c>
      <c r="N362" s="30" t="n"/>
      <c r="O362" s="12">
        <f>IF(tb_rechnungen[[#This Row],[Re-Datum]]&gt;0,MONTH(tb_rechnungen[[#This Row],[Re-Datum]]),"")</f>
        <v/>
      </c>
      <c r="P362" s="13">
        <f>IF(tb_rechnungen[[#This Row],[Re-Datum]]&gt;0,YEAR(tb_rechnungen[[#This Row],[Re-Datum]]),"")</f>
        <v/>
      </c>
      <c r="Q362" s="19">
        <f>IF(tb_rechnungen[[#This Row],[Brutto]]&lt;&gt;0,tb_rechnungen[[#This Row],[Brutto]]-tb_rechnungen[[#This Row],[Netto]],"")</f>
        <v/>
      </c>
      <c r="R362" s="37">
        <f>IF(tb_rechnungen[[#This Row],[Netto]]&lt;&gt;0,ROUND(tb_rechnungen[[#This Row],[Steuer]]/tb_rechnungen[[#This Row],[Netto]],2),"")</f>
        <v/>
      </c>
    </row>
    <row r="363">
      <c r="A363" s="26" t="n">
        <v>46033</v>
      </c>
      <c r="B363" s="27" t="inlineStr">
        <is>
          <t>VitalWorks noIP</t>
        </is>
      </c>
      <c r="C363" s="28" t="inlineStr">
        <is>
          <t>INV5664411</t>
        </is>
      </c>
      <c r="D363" s="28" t="inlineStr">
        <is>
          <t>E</t>
        </is>
      </c>
      <c r="E363" s="27" t="inlineStr">
        <is>
          <t>Dynamic DNS bis 25 Hosts 34,99 USD</t>
        </is>
      </c>
      <c r="F363" s="29" t="n">
        <v>31.57</v>
      </c>
      <c r="G363" s="29" t="n">
        <v>31.57</v>
      </c>
      <c r="H363" s="30" t="inlineStr">
        <is>
          <t>EX</t>
        </is>
      </c>
      <c r="I363" s="30" t="inlineStr">
        <is>
          <t>Z</t>
        </is>
      </c>
      <c r="J363" s="30" t="n"/>
      <c r="K363" s="50" t="n"/>
      <c r="L363" s="50" t="n"/>
      <c r="M363" s="67" t="n"/>
      <c r="N363" s="30" t="n"/>
      <c r="O363" s="12">
        <f>IF(tb_rechnungen[[#This Row],[Re-Datum]]&gt;0,MONTH(tb_rechnungen[[#This Row],[Re-Datum]]),"")</f>
        <v/>
      </c>
      <c r="P363" s="13">
        <f>IF(tb_rechnungen[[#This Row],[Re-Datum]]&gt;0,YEAR(tb_rechnungen[[#This Row],[Re-Datum]]),"")</f>
        <v/>
      </c>
      <c r="Q363" s="19">
        <f>IF(tb_rechnungen[[#This Row],[Brutto]]&lt;&gt;0,tb_rechnungen[[#This Row],[Brutto]]-tb_rechnungen[[#This Row],[Netto]],"")</f>
        <v/>
      </c>
      <c r="R363" s="37">
        <f>IF(tb_rechnungen[[#This Row],[Netto]]&lt;&gt;0,ROUND(tb_rechnungen[[#This Row],[Steuer]]/tb_rechnungen[[#This Row],[Netto]],2),"")</f>
        <v/>
      </c>
    </row>
    <row r="364" hidden="1">
      <c r="A364" s="26" t="n">
        <v>45670</v>
      </c>
      <c r="B364" s="27" t="inlineStr">
        <is>
          <t>Telekom</t>
        </is>
      </c>
      <c r="C364" s="28" t="inlineStr">
        <is>
          <t>R35 4942 5500 0551</t>
        </is>
      </c>
      <c r="D364" s="28" t="inlineStr">
        <is>
          <t>K</t>
        </is>
      </c>
      <c r="E364" s="27" t="inlineStr">
        <is>
          <t>Schulze mobil Dezember</t>
        </is>
      </c>
      <c r="F364" s="29" t="n">
        <v>15.52</v>
      </c>
      <c r="G364" s="29" t="n">
        <v>18.47</v>
      </c>
      <c r="H364" s="30" t="inlineStr">
        <is>
          <t>EX</t>
        </is>
      </c>
      <c r="I364" s="30" t="inlineStr">
        <is>
          <t>Z</t>
        </is>
      </c>
      <c r="J364" s="30" t="n"/>
      <c r="K364" s="50" t="n">
        <v>46048</v>
      </c>
      <c r="L364" s="50" t="n"/>
      <c r="M364" s="67" t="n"/>
      <c r="N364" s="30" t="n"/>
      <c r="O364" s="12">
        <f>IF(tb_rechnungen[[#This Row],[Re-Datum]]&gt;0,MONTH(tb_rechnungen[[#This Row],[Re-Datum]]),"")</f>
        <v/>
      </c>
      <c r="P364" s="13">
        <f>IF(tb_rechnungen[[#This Row],[Re-Datum]]&gt;0,YEAR(tb_rechnungen[[#This Row],[Re-Datum]]),"")</f>
        <v/>
      </c>
      <c r="Q364" s="19">
        <f>IF(tb_rechnungen[[#This Row],[Brutto]]&lt;&gt;0,tb_rechnungen[[#This Row],[Brutto]]-tb_rechnungen[[#This Row],[Netto]],"")</f>
        <v/>
      </c>
      <c r="R364" s="37">
        <f>IF(tb_rechnungen[[#This Row],[Netto]]&lt;&gt;0,ROUND(tb_rechnungen[[#This Row],[Steuer]]/tb_rechnungen[[#This Row],[Netto]],2),"")</f>
        <v/>
      </c>
    </row>
    <row r="365" hidden="1">
      <c r="A365" s="26" t="n">
        <v>45671</v>
      </c>
      <c r="B365" s="27" t="inlineStr">
        <is>
          <t>Sage GmbH</t>
        </is>
      </c>
      <c r="C365" s="28" t="inlineStr">
        <is>
          <t>2026-1080159</t>
        </is>
      </c>
      <c r="D365" s="28" t="inlineStr">
        <is>
          <t>K</t>
        </is>
      </c>
      <c r="E365" s="27" t="inlineStr">
        <is>
          <t>HR Cloud 12/2025</t>
        </is>
      </c>
      <c r="F365" s="29" t="n">
        <v>15.5</v>
      </c>
      <c r="G365" s="29" t="n">
        <v>18.45</v>
      </c>
      <c r="H365" s="30" t="inlineStr">
        <is>
          <t>EX</t>
        </is>
      </c>
      <c r="I365" s="30" t="inlineStr">
        <is>
          <t>Z</t>
        </is>
      </c>
      <c r="J365" s="30" t="n"/>
      <c r="K365" s="50" t="n">
        <v>46066</v>
      </c>
      <c r="L365" s="50" t="n"/>
      <c r="M365" s="67" t="n"/>
      <c r="N365" s="30" t="n"/>
      <c r="O365" s="12">
        <f>IF(tb_rechnungen[[#This Row],[Re-Datum]]&gt;0,MONTH(tb_rechnungen[[#This Row],[Re-Datum]]),"")</f>
        <v/>
      </c>
      <c r="P365" s="13">
        <f>IF(tb_rechnungen[[#This Row],[Re-Datum]]&gt;0,YEAR(tb_rechnungen[[#This Row],[Re-Datum]]),"")</f>
        <v/>
      </c>
      <c r="Q365" s="19">
        <f>IF(tb_rechnungen[[#This Row],[Brutto]]&lt;&gt;0,tb_rechnungen[[#This Row],[Brutto]]-tb_rechnungen[[#This Row],[Netto]],"")</f>
        <v/>
      </c>
      <c r="R365" s="37">
        <f>IF(tb_rechnungen[[#This Row],[Netto]]&lt;&gt;0,ROUND(tb_rechnungen[[#This Row],[Steuer]]/tb_rechnungen[[#This Row],[Netto]],2),"")</f>
        <v/>
      </c>
    </row>
    <row r="366">
      <c r="A366" s="26" t="n">
        <v>46036</v>
      </c>
      <c r="B366" s="27" t="inlineStr">
        <is>
          <t>Wortmann AG</t>
        </is>
      </c>
      <c r="C366" s="28" t="inlineStr">
        <is>
          <t>DR9116501</t>
        </is>
      </c>
      <c r="D366" s="28" t="inlineStr">
        <is>
          <t>E</t>
        </is>
      </c>
      <c r="E366" s="27" t="inlineStr">
        <is>
          <t>Terracloud M365 Bavkup VEH</t>
        </is>
      </c>
      <c r="F366" s="29" t="n">
        <v>14.9</v>
      </c>
      <c r="G366" s="29" t="n">
        <v>17.73</v>
      </c>
      <c r="H366" s="30" t="inlineStr">
        <is>
          <t>UX</t>
        </is>
      </c>
      <c r="I366" s="30" t="inlineStr">
        <is>
          <t>Z</t>
        </is>
      </c>
      <c r="J366" s="30" t="n"/>
      <c r="K366" s="50" t="n">
        <v>46081</v>
      </c>
      <c r="L366" s="50" t="n"/>
      <c r="M366" s="67" t="n"/>
      <c r="N366" s="30" t="n"/>
      <c r="O366" s="12">
        <f>IF(tb_rechnungen[[#This Row],[Re-Datum]]&gt;0,MONTH(tb_rechnungen[[#This Row],[Re-Datum]]),"")</f>
        <v/>
      </c>
      <c r="P366" s="13">
        <f>IF(tb_rechnungen[[#This Row],[Re-Datum]]&gt;0,YEAR(tb_rechnungen[[#This Row],[Re-Datum]]),"")</f>
        <v/>
      </c>
      <c r="Q366" s="19">
        <f>IF(tb_rechnungen[[#This Row],[Brutto]]&lt;&gt;0,tb_rechnungen[[#This Row],[Brutto]]-tb_rechnungen[[#This Row],[Netto]],"")</f>
        <v/>
      </c>
      <c r="R366" s="37">
        <f>IF(tb_rechnungen[[#This Row],[Netto]]&lt;&gt;0,ROUND(tb_rechnungen[[#This Row],[Steuer]]/tb_rechnungen[[#This Row],[Netto]],2),"")</f>
        <v/>
      </c>
    </row>
    <row r="367">
      <c r="A367" s="26" t="n">
        <v>46037</v>
      </c>
      <c r="B367" s="27" t="inlineStr">
        <is>
          <t>Blau</t>
        </is>
      </c>
      <c r="C367" s="28" t="inlineStr">
        <is>
          <t>1458357370/08</t>
        </is>
      </c>
      <c r="D367" s="28" t="inlineStr">
        <is>
          <t>K</t>
        </is>
      </c>
      <c r="E367" s="27" t="inlineStr">
        <is>
          <t>Bis 09.1.2026</t>
        </is>
      </c>
      <c r="F367" s="29" t="n">
        <v>13.44</v>
      </c>
      <c r="G367" s="29" t="n">
        <v>15.99</v>
      </c>
      <c r="H367" s="30" t="inlineStr">
        <is>
          <t>EX</t>
        </is>
      </c>
      <c r="I367" s="30" t="inlineStr">
        <is>
          <t>Z</t>
        </is>
      </c>
      <c r="J367" s="30" t="n"/>
      <c r="K367" s="50" t="n">
        <v>46044</v>
      </c>
      <c r="L367" s="50" t="n"/>
      <c r="M367" s="67" t="n"/>
      <c r="N367" s="30" t="n"/>
      <c r="O367" s="12">
        <f>IF(tb_rechnungen[[#This Row],[Re-Datum]]&gt;0,MONTH(tb_rechnungen[[#This Row],[Re-Datum]]),"")</f>
        <v/>
      </c>
      <c r="P367" s="13">
        <f>IF(tb_rechnungen[[#This Row],[Re-Datum]]&gt;0,YEAR(tb_rechnungen[[#This Row],[Re-Datum]]),"")</f>
        <v/>
      </c>
      <c r="Q367" s="19">
        <f>IF(tb_rechnungen[[#This Row],[Brutto]]&lt;&gt;0,tb_rechnungen[[#This Row],[Brutto]]-tb_rechnungen[[#This Row],[Netto]],"")</f>
        <v/>
      </c>
      <c r="R367" s="37">
        <f>IF(tb_rechnungen[[#This Row],[Netto]]&lt;&gt;0,ROUND(tb_rechnungen[[#This Row],[Steuer]]/tb_rechnungen[[#This Row],[Netto]],2),"")</f>
        <v/>
      </c>
    </row>
    <row r="368">
      <c r="A368" s="26" t="n">
        <v>46038</v>
      </c>
      <c r="B368" s="27" t="inlineStr">
        <is>
          <t>Telekom</t>
        </is>
      </c>
      <c r="C368" s="28" t="inlineStr">
        <is>
          <t>R7219484981</t>
        </is>
      </c>
      <c r="D368" s="28" t="inlineStr">
        <is>
          <t>K</t>
        </is>
      </c>
      <c r="E368" s="27" t="inlineStr">
        <is>
          <t>Schulze Januer 2026</t>
        </is>
      </c>
      <c r="F368" s="29" t="n">
        <v>33.57</v>
      </c>
      <c r="G368" s="29" t="n">
        <v>39.95</v>
      </c>
      <c r="H368" s="30" t="inlineStr">
        <is>
          <t>EX</t>
        </is>
      </c>
      <c r="I368" s="30" t="inlineStr">
        <is>
          <t>Z</t>
        </is>
      </c>
      <c r="J368" s="30" t="n"/>
      <c r="K368" s="50" t="n">
        <v>46049</v>
      </c>
      <c r="L368" s="50" t="n"/>
      <c r="M368" s="67" t="n"/>
      <c r="N368" s="30" t="n"/>
      <c r="O368" s="12">
        <f>IF(tb_rechnungen[[#This Row],[Re-Datum]]&gt;0,MONTH(tb_rechnungen[[#This Row],[Re-Datum]]),"")</f>
        <v/>
      </c>
      <c r="P368" s="13">
        <f>IF(tb_rechnungen[[#This Row],[Re-Datum]]&gt;0,YEAR(tb_rechnungen[[#This Row],[Re-Datum]]),"")</f>
        <v/>
      </c>
      <c r="Q368" s="19">
        <f>IF(tb_rechnungen[[#This Row],[Brutto]]&lt;&gt;0,tb_rechnungen[[#This Row],[Brutto]]-tb_rechnungen[[#This Row],[Netto]],"")</f>
        <v/>
      </c>
      <c r="R368" s="37">
        <f>IF(tb_rechnungen[[#This Row],[Netto]]&lt;&gt;0,ROUND(tb_rechnungen[[#This Row],[Steuer]]/tb_rechnungen[[#This Row],[Netto]],2),"")</f>
        <v/>
      </c>
    </row>
    <row r="369">
      <c r="A369" s="26" t="n">
        <v>46037</v>
      </c>
      <c r="B369" s="27" t="inlineStr">
        <is>
          <t>DKV</t>
        </is>
      </c>
      <c r="C369" s="28" t="inlineStr">
        <is>
          <t>26-649123675</t>
        </is>
      </c>
      <c r="D369" s="28" t="inlineStr">
        <is>
          <t>K</t>
        </is>
      </c>
      <c r="E369" s="27" t="inlineStr">
        <is>
          <t xml:space="preserve">Januar </t>
        </is>
      </c>
      <c r="F369" s="29" t="n">
        <v>262.64</v>
      </c>
      <c r="G369" s="29" t="n">
        <v>312.54</v>
      </c>
      <c r="H369" s="30" t="inlineStr">
        <is>
          <t>EX</t>
        </is>
      </c>
      <c r="I369" s="30" t="inlineStr">
        <is>
          <t>Z</t>
        </is>
      </c>
      <c r="J369" s="30" t="n"/>
      <c r="K369" s="50" t="n">
        <v>46048</v>
      </c>
      <c r="L369" s="50" t="n"/>
      <c r="M369" s="67" t="n"/>
      <c r="N369" s="30" t="n"/>
      <c r="O369" s="12">
        <f>IF(tb_rechnungen[[#This Row],[Re-Datum]]&gt;0,MONTH(tb_rechnungen[[#This Row],[Re-Datum]]),"")</f>
        <v/>
      </c>
      <c r="P369" s="13">
        <f>IF(tb_rechnungen[[#This Row],[Re-Datum]]&gt;0,YEAR(tb_rechnungen[[#This Row],[Re-Datum]]),"")</f>
        <v/>
      </c>
      <c r="Q369" s="19">
        <f>IF(tb_rechnungen[[#This Row],[Brutto]]&lt;&gt;0,tb_rechnungen[[#This Row],[Brutto]]-tb_rechnungen[[#This Row],[Netto]],"")</f>
        <v/>
      </c>
      <c r="R369" s="37">
        <f>IF(tb_rechnungen[[#This Row],[Netto]]&lt;&gt;0,ROUND(tb_rechnungen[[#This Row],[Steuer]]/tb_rechnungen[[#This Row],[Netto]],2),"")</f>
        <v/>
      </c>
    </row>
    <row r="370">
      <c r="A370" s="26" t="n">
        <v>46040</v>
      </c>
      <c r="B370" s="27" t="inlineStr">
        <is>
          <t>Wolkesicher</t>
        </is>
      </c>
      <c r="C370" s="28" t="inlineStr">
        <is>
          <t>R4093398</t>
        </is>
      </c>
      <c r="D370" s="28" t="inlineStr">
        <is>
          <t>K</t>
        </is>
      </c>
      <c r="E370" s="27" t="inlineStr">
        <is>
          <t>Februar</t>
        </is>
      </c>
      <c r="F370" s="29" t="n">
        <v>4.19</v>
      </c>
      <c r="G370" s="29" t="n">
        <v>4.99</v>
      </c>
      <c r="H370" s="30" t="inlineStr">
        <is>
          <t>EX</t>
        </is>
      </c>
      <c r="I370" s="30" t="inlineStr">
        <is>
          <t>Z</t>
        </is>
      </c>
      <c r="J370" s="30" t="n"/>
      <c r="K370" s="50" t="n">
        <v>46054</v>
      </c>
      <c r="L370" s="50" t="n"/>
      <c r="M370" s="67" t="n"/>
      <c r="N370" s="30" t="n"/>
      <c r="O370" s="12">
        <f>IF(tb_rechnungen[[#This Row],[Re-Datum]]&gt;0,MONTH(tb_rechnungen[[#This Row],[Re-Datum]]),"")</f>
        <v/>
      </c>
      <c r="P370" s="13">
        <f>IF(tb_rechnungen[[#This Row],[Re-Datum]]&gt;0,YEAR(tb_rechnungen[[#This Row],[Re-Datum]]),"")</f>
        <v/>
      </c>
      <c r="Q370" s="19">
        <f>IF(tb_rechnungen[[#This Row],[Brutto]]&lt;&gt;0,tb_rechnungen[[#This Row],[Brutto]]-tb_rechnungen[[#This Row],[Netto]],"")</f>
        <v/>
      </c>
      <c r="R370" s="37">
        <f>IF(tb_rechnungen[[#This Row],[Netto]]&lt;&gt;0,ROUND(tb_rechnungen[[#This Row],[Steuer]]/tb_rechnungen[[#This Row],[Netto]],2),"")</f>
        <v/>
      </c>
    </row>
    <row r="371">
      <c r="A371" s="26" t="n">
        <v>46043</v>
      </c>
      <c r="B371" s="27" t="inlineStr">
        <is>
          <t>Infinigate</t>
        </is>
      </c>
      <c r="C371" s="28" t="inlineStr">
        <is>
          <t>PSI-23408935</t>
        </is>
      </c>
      <c r="D371" s="28" t="inlineStr">
        <is>
          <t>E</t>
        </is>
      </c>
      <c r="E371" s="27" t="inlineStr">
        <is>
          <t>Trellix wfb82 User</t>
        </is>
      </c>
      <c r="F371" s="29" t="n">
        <v>1215.24</v>
      </c>
      <c r="G371" s="29" t="n">
        <v>1446.14</v>
      </c>
      <c r="H371" s="30" t="inlineStr">
        <is>
          <t>UX</t>
        </is>
      </c>
      <c r="I371" s="30" t="inlineStr">
        <is>
          <t>Z</t>
        </is>
      </c>
      <c r="J371" s="30" t="n"/>
      <c r="K371" s="50" t="n">
        <v>46057</v>
      </c>
      <c r="L371" s="50" t="n"/>
      <c r="M371" s="67" t="inlineStr">
        <is>
          <t>DE75700202700085805185</t>
        </is>
      </c>
      <c r="N371" s="30" t="n"/>
      <c r="O371" s="12">
        <f>IF(tb_rechnungen[[#This Row],[Re-Datum]]&gt;0,MONTH(tb_rechnungen[[#This Row],[Re-Datum]]),"")</f>
        <v/>
      </c>
      <c r="P371" s="13">
        <f>IF(tb_rechnungen[[#This Row],[Re-Datum]]&gt;0,YEAR(tb_rechnungen[[#This Row],[Re-Datum]]),"")</f>
        <v/>
      </c>
      <c r="Q371" s="19">
        <f>IF(tb_rechnungen[[#This Row],[Brutto]]&lt;&gt;0,tb_rechnungen[[#This Row],[Brutto]]-tb_rechnungen[[#This Row],[Netto]],"")</f>
        <v/>
      </c>
      <c r="R371" s="37">
        <f>IF(tb_rechnungen[[#This Row],[Netto]]&lt;&gt;0,ROUND(tb_rechnungen[[#This Row],[Steuer]]/tb_rechnungen[[#This Row],[Netto]],2),"")</f>
        <v/>
      </c>
    </row>
    <row r="372">
      <c r="A372" s="26" t="n">
        <v>46045</v>
      </c>
      <c r="B372" s="27" t="inlineStr">
        <is>
          <t>Vendosoft</t>
        </is>
      </c>
      <c r="C372" s="28" t="inlineStr">
        <is>
          <t>1-2026-0585</t>
        </is>
      </c>
      <c r="D372" s="28" t="inlineStr">
        <is>
          <t>E</t>
        </is>
      </c>
      <c r="E372" s="27" t="inlineStr">
        <is>
          <t>MS Software</t>
        </is>
      </c>
      <c r="F372" s="29" t="n">
        <v>2382.04</v>
      </c>
      <c r="G372" s="29" t="n">
        <v>2834.63</v>
      </c>
      <c r="H372" s="30" t="inlineStr">
        <is>
          <t>UX</t>
        </is>
      </c>
      <c r="I372" s="30" t="inlineStr">
        <is>
          <t>Z</t>
        </is>
      </c>
      <c r="J372" s="30" t="n"/>
      <c r="K372" s="50" t="n">
        <v>46051</v>
      </c>
      <c r="L372" s="50" t="n"/>
      <c r="M372" s="67" t="inlineStr">
        <is>
          <t>DE68720200700022580493</t>
        </is>
      </c>
      <c r="N372" s="30" t="n"/>
      <c r="O372" s="12">
        <f>IF(tb_rechnungen[[#This Row],[Re-Datum]]&gt;0,MONTH(tb_rechnungen[[#This Row],[Re-Datum]]),"")</f>
        <v/>
      </c>
      <c r="P372" s="13">
        <f>IF(tb_rechnungen[[#This Row],[Re-Datum]]&gt;0,YEAR(tb_rechnungen[[#This Row],[Re-Datum]]),"")</f>
        <v/>
      </c>
      <c r="Q372" s="19">
        <f>IF(tb_rechnungen[[#This Row],[Brutto]]&lt;&gt;0,tb_rechnungen[[#This Row],[Brutto]]-tb_rechnungen[[#This Row],[Netto]],"")</f>
        <v/>
      </c>
      <c r="R372" s="37">
        <f>IF(tb_rechnungen[[#This Row],[Netto]]&lt;&gt;0,ROUND(tb_rechnungen[[#This Row],[Steuer]]/tb_rechnungen[[#This Row],[Netto]],2),"")</f>
        <v/>
      </c>
    </row>
    <row r="373" hidden="1">
      <c r="A373" s="26" t="n">
        <v>45683</v>
      </c>
      <c r="B373" s="27" t="inlineStr">
        <is>
          <t>BFS Finance GmbH</t>
        </is>
      </c>
      <c r="C373" s="28" t="inlineStr">
        <is>
          <t>R14752195</t>
        </is>
      </c>
      <c r="D373" s="28" t="inlineStr">
        <is>
          <t>E</t>
        </is>
      </c>
      <c r="E373" s="27" t="inlineStr">
        <is>
          <t>HP Dockingstation</t>
        </is>
      </c>
      <c r="F373" s="29" t="n">
        <v>876</v>
      </c>
      <c r="G373" s="29" t="n">
        <v>1042.44</v>
      </c>
      <c r="H373" s="30" t="inlineStr">
        <is>
          <t>EX</t>
        </is>
      </c>
      <c r="I373" s="30" t="inlineStr">
        <is>
          <t>Z</t>
        </is>
      </c>
      <c r="J373" s="30" t="n"/>
      <c r="K373" s="50" t="n">
        <v>46077</v>
      </c>
      <c r="L373" s="50" t="inlineStr">
        <is>
          <t>API GmbH</t>
        </is>
      </c>
      <c r="M373" s="67" t="inlineStr">
        <is>
          <t>DE16478400804156727358</t>
        </is>
      </c>
      <c r="N373" s="30" t="n"/>
      <c r="O373" s="12">
        <f>IF(tb_rechnungen[[#This Row],[Re-Datum]]&gt;0,MONTH(tb_rechnungen[[#This Row],[Re-Datum]]),"")</f>
        <v/>
      </c>
      <c r="P373" s="13">
        <f>IF(tb_rechnungen[[#This Row],[Re-Datum]]&gt;0,YEAR(tb_rechnungen[[#This Row],[Re-Datum]]),"")</f>
        <v/>
      </c>
      <c r="Q373" s="19">
        <f>IF(tb_rechnungen[[#This Row],[Brutto]]&lt;&gt;0,tb_rechnungen[[#This Row],[Brutto]]-tb_rechnungen[[#This Row],[Netto]],"")</f>
        <v/>
      </c>
      <c r="R373" s="37">
        <f>IF(tb_rechnungen[[#This Row],[Netto]]&lt;&gt;0,ROUND(tb_rechnungen[[#This Row],[Steuer]]/tb_rechnungen[[#This Row],[Netto]],2),"")</f>
        <v/>
      </c>
    </row>
    <row r="374">
      <c r="A374" s="26" t="n">
        <v>46043</v>
      </c>
      <c r="B374" s="27" t="inlineStr">
        <is>
          <t>Telekom</t>
        </is>
      </c>
      <c r="C374" s="28" t="inlineStr">
        <is>
          <t>R7222313875</t>
        </is>
      </c>
      <c r="D374" s="28" t="inlineStr">
        <is>
          <t>K</t>
        </is>
      </c>
      <c r="E374" s="27" t="inlineStr">
        <is>
          <t>Faszl Januar</t>
        </is>
      </c>
      <c r="F374" s="29" t="n">
        <v>37.77</v>
      </c>
      <c r="G374" s="29" t="n">
        <v>44.95</v>
      </c>
      <c r="H374" s="30" t="inlineStr">
        <is>
          <t>EX</t>
        </is>
      </c>
      <c r="I374" s="30" t="inlineStr">
        <is>
          <t>Z</t>
        </is>
      </c>
      <c r="J374" s="30" t="n"/>
      <c r="K374" s="50" t="n">
        <v>46052</v>
      </c>
      <c r="L374" s="50" t="n"/>
      <c r="M374" s="67" t="n"/>
      <c r="N374" s="30" t="n"/>
      <c r="O374" s="12">
        <f>IF(tb_rechnungen[[#This Row],[Re-Datum]]&gt;0,MONTH(tb_rechnungen[[#This Row],[Re-Datum]]),"")</f>
        <v/>
      </c>
      <c r="P374" s="13">
        <f>IF(tb_rechnungen[[#This Row],[Re-Datum]]&gt;0,YEAR(tb_rechnungen[[#This Row],[Re-Datum]]),"")</f>
        <v/>
      </c>
      <c r="Q374" s="19">
        <f>IF(tb_rechnungen[[#This Row],[Brutto]]&lt;&gt;0,tb_rechnungen[[#This Row],[Brutto]]-tb_rechnungen[[#This Row],[Netto]],"")</f>
        <v/>
      </c>
      <c r="R374" s="37">
        <f>IF(tb_rechnungen[[#This Row],[Netto]]&lt;&gt;0,ROUND(tb_rechnungen[[#This Row],[Steuer]]/tb_rechnungen[[#This Row],[Netto]],2),"")</f>
        <v/>
      </c>
    </row>
    <row r="375">
      <c r="A375" s="26" t="n">
        <v>46053</v>
      </c>
      <c r="B375" s="27" t="inlineStr">
        <is>
          <t>NFON</t>
        </is>
      </c>
      <c r="C375" s="28" t="inlineStr">
        <is>
          <t>26-12-161359</t>
        </is>
      </c>
      <c r="D375" s="28" t="inlineStr">
        <is>
          <t>K</t>
        </is>
      </c>
      <c r="E375" s="27" t="inlineStr">
        <is>
          <t xml:space="preserve">Januar </t>
        </is>
      </c>
      <c r="F375" s="29" t="n">
        <v>44.71</v>
      </c>
      <c r="G375" s="29" t="n">
        <v>53.21</v>
      </c>
      <c r="H375" s="30" t="inlineStr">
        <is>
          <t>EX</t>
        </is>
      </c>
      <c r="I375" s="30" t="inlineStr">
        <is>
          <t>Z</t>
        </is>
      </c>
      <c r="J375" s="30" t="n"/>
      <c r="K375" s="50" t="n">
        <v>46063</v>
      </c>
      <c r="L375" s="50" t="n"/>
      <c r="M375" s="67" t="n"/>
      <c r="N375" s="30" t="n"/>
      <c r="O375" s="12">
        <f>IF(tb_rechnungen[[#This Row],[Re-Datum]]&gt;0,MONTH(tb_rechnungen[[#This Row],[Re-Datum]]),"")</f>
        <v/>
      </c>
      <c r="P375" s="13">
        <f>IF(tb_rechnungen[[#This Row],[Re-Datum]]&gt;0,YEAR(tb_rechnungen[[#This Row],[Re-Datum]]),"")</f>
        <v/>
      </c>
      <c r="Q375" s="19">
        <f>IF(tb_rechnungen[[#This Row],[Brutto]]&lt;&gt;0,tb_rechnungen[[#This Row],[Brutto]]-tb_rechnungen[[#This Row],[Netto]],"")</f>
        <v/>
      </c>
      <c r="R375" s="37">
        <f>IF(tb_rechnungen[[#This Row],[Netto]]&lt;&gt;0,ROUND(tb_rechnungen[[#This Row],[Steuer]]/tb_rechnungen[[#This Row],[Netto]],2),"")</f>
        <v/>
      </c>
    </row>
    <row r="376">
      <c r="A376" s="26" t="n">
        <v>46053</v>
      </c>
      <c r="B376" s="27" t="inlineStr">
        <is>
          <t>DKV</t>
        </is>
      </c>
      <c r="C376" s="28" t="inlineStr">
        <is>
          <t>26/6493715/001</t>
        </is>
      </c>
      <c r="D376" s="28" t="inlineStr">
        <is>
          <t>K</t>
        </is>
      </c>
      <c r="E376" s="27" t="inlineStr">
        <is>
          <t>Januar</t>
        </is>
      </c>
      <c r="F376" s="29" t="n">
        <v>65.65000000000001</v>
      </c>
      <c r="G376" s="29" t="n">
        <v>78.12</v>
      </c>
      <c r="H376" s="30" t="inlineStr">
        <is>
          <t>EX</t>
        </is>
      </c>
      <c r="I376" s="30" t="inlineStr">
        <is>
          <t>Z</t>
        </is>
      </c>
      <c r="J376" s="30" t="n"/>
      <c r="K376" s="50" t="n">
        <v>46063</v>
      </c>
      <c r="L376" s="50" t="n"/>
      <c r="M376" s="67" t="n"/>
      <c r="N376" s="30" t="n"/>
      <c r="O376" s="12">
        <f>IF(tb_rechnungen[[#This Row],[Re-Datum]]&gt;0,MONTH(tb_rechnungen[[#This Row],[Re-Datum]]),"")</f>
        <v/>
      </c>
      <c r="P376" s="13">
        <f>IF(tb_rechnungen[[#This Row],[Re-Datum]]&gt;0,YEAR(tb_rechnungen[[#This Row],[Re-Datum]]),"")</f>
        <v/>
      </c>
      <c r="Q376" s="19">
        <f>IF(tb_rechnungen[[#This Row],[Brutto]]&lt;&gt;0,tb_rechnungen[[#This Row],[Brutto]]-tb_rechnungen[[#This Row],[Netto]],"")</f>
        <v/>
      </c>
      <c r="R376" s="37">
        <f>IF(tb_rechnungen[[#This Row],[Netto]]&lt;&gt;0,ROUND(tb_rechnungen[[#This Row],[Steuer]]/tb_rechnungen[[#This Row],[Netto]],2),"")</f>
        <v/>
      </c>
    </row>
    <row r="377">
      <c r="A377" s="26" t="n">
        <v>46054</v>
      </c>
      <c r="B377" s="27" t="inlineStr">
        <is>
          <t>FinBC</t>
        </is>
      </c>
      <c r="C377" s="28" t="inlineStr">
        <is>
          <t>SJMAOFZB-0020</t>
        </is>
      </c>
      <c r="D377" s="28" t="inlineStr">
        <is>
          <t>E</t>
        </is>
      </c>
      <c r="E377" s="27" t="inlineStr">
        <is>
          <t>Februar Rechnungsapi.de SWN</t>
        </is>
      </c>
      <c r="F377" s="29" t="n">
        <v>8.390000000000001</v>
      </c>
      <c r="G377" s="29" t="n">
        <v>9.99</v>
      </c>
      <c r="H377" s="30" t="inlineStr">
        <is>
          <t>EX</t>
        </is>
      </c>
      <c r="I377" s="30" t="inlineStr">
        <is>
          <t>Z</t>
        </is>
      </c>
      <c r="J377" s="30" t="n"/>
      <c r="K377" s="50" t="inlineStr">
        <is>
          <t>01..02.2026</t>
        </is>
      </c>
      <c r="L377" s="50" t="n"/>
      <c r="M377" s="67" t="n"/>
      <c r="N377" s="30" t="inlineStr">
        <is>
          <t>FY</t>
        </is>
      </c>
      <c r="O377" s="12">
        <f>IF(tb_rechnungen[[#This Row],[Re-Datum]]&gt;0,MONTH(tb_rechnungen[[#This Row],[Re-Datum]]),"")</f>
        <v/>
      </c>
      <c r="P377" s="13">
        <f>IF(tb_rechnungen[[#This Row],[Re-Datum]]&gt;0,YEAR(tb_rechnungen[[#This Row],[Re-Datum]]),"")</f>
        <v/>
      </c>
      <c r="Q377" s="19">
        <f>IF(tb_rechnungen[[#This Row],[Brutto]]&lt;&gt;0,tb_rechnungen[[#This Row],[Brutto]]-tb_rechnungen[[#This Row],[Netto]],"")</f>
        <v/>
      </c>
      <c r="R377" s="37">
        <f>IF(tb_rechnungen[[#This Row],[Netto]]&lt;&gt;0,ROUND(tb_rechnungen[[#This Row],[Steuer]]/tb_rechnungen[[#This Row],[Netto]],2),"")</f>
        <v/>
      </c>
    </row>
    <row r="378">
      <c r="A378" s="26" t="n">
        <v>46054</v>
      </c>
      <c r="B378" s="27" t="inlineStr">
        <is>
          <t>Greiner</t>
        </is>
      </c>
      <c r="C378" s="28" t="inlineStr">
        <is>
          <t>GM-8434</t>
        </is>
      </c>
      <c r="D378" s="28" t="inlineStr">
        <is>
          <t>K</t>
        </is>
      </c>
      <c r="E378" s="27" t="inlineStr">
        <is>
          <t>Buchhaltung Dezember</t>
        </is>
      </c>
      <c r="F378" s="29" t="n">
        <v>90</v>
      </c>
      <c r="G378" s="29" t="n">
        <v>107.1</v>
      </c>
      <c r="H378" s="30" t="inlineStr">
        <is>
          <t>UX</t>
        </is>
      </c>
      <c r="I378" s="30" t="inlineStr">
        <is>
          <t>Z</t>
        </is>
      </c>
      <c r="J378" s="30" t="n"/>
      <c r="K378" s="50" t="n">
        <v>46061</v>
      </c>
      <c r="L378" s="50" t="n"/>
      <c r="M378" s="67" t="n"/>
      <c r="N378" s="30" t="n"/>
      <c r="O378" s="12">
        <f>IF(tb_rechnungen[[#This Row],[Re-Datum]]&gt;0,MONTH(tb_rechnungen[[#This Row],[Re-Datum]]),"")</f>
        <v/>
      </c>
      <c r="P378" s="13">
        <f>IF(tb_rechnungen[[#This Row],[Re-Datum]]&gt;0,YEAR(tb_rechnungen[[#This Row],[Re-Datum]]),"")</f>
        <v/>
      </c>
      <c r="Q378" s="19">
        <f>IF(tb_rechnungen[[#This Row],[Brutto]]&lt;&gt;0,tb_rechnungen[[#This Row],[Brutto]]-tb_rechnungen[[#This Row],[Netto]],"")</f>
        <v/>
      </c>
      <c r="R378" s="37">
        <f>IF(tb_rechnungen[[#This Row],[Netto]]&lt;&gt;0,ROUND(tb_rechnungen[[#This Row],[Steuer]]/tb_rechnungen[[#This Row],[Netto]],2),"")</f>
        <v/>
      </c>
    </row>
    <row r="379">
      <c r="A379" s="26" t="n">
        <v>46054</v>
      </c>
      <c r="B379" s="27" t="inlineStr">
        <is>
          <t>VW Leasing</t>
        </is>
      </c>
      <c r="C379" s="28" t="inlineStr">
        <is>
          <t>R1026131759</t>
        </is>
      </c>
      <c r="D379" s="28" t="inlineStr">
        <is>
          <t>K</t>
        </is>
      </c>
      <c r="E379" s="58" t="inlineStr">
        <is>
          <t>Feburar</t>
        </is>
      </c>
      <c r="F379" s="29" t="n">
        <v>37.43</v>
      </c>
      <c r="G379" s="29" t="n">
        <v>44.54</v>
      </c>
      <c r="H379" s="30" t="inlineStr">
        <is>
          <t>EX</t>
        </is>
      </c>
      <c r="I379" s="30" t="inlineStr">
        <is>
          <t>Z</t>
        </is>
      </c>
      <c r="J379" s="30" t="n"/>
      <c r="K379" s="50" t="n">
        <v>46055</v>
      </c>
      <c r="L379" s="50" t="n"/>
      <c r="M379" s="67" t="n"/>
      <c r="N379" s="30" t="n"/>
      <c r="O379" s="12">
        <f>IF(tb_rechnungen[[#This Row],[Re-Datum]]&gt;0,MONTH(tb_rechnungen[[#This Row],[Re-Datum]]),"")</f>
        <v/>
      </c>
      <c r="P379" s="13">
        <f>IF(tb_rechnungen[[#This Row],[Re-Datum]]&gt;0,YEAR(tb_rechnungen[[#This Row],[Re-Datum]]),"")</f>
        <v/>
      </c>
      <c r="Q379" s="19">
        <f>IF(tb_rechnungen[[#This Row],[Brutto]]&lt;&gt;0,tb_rechnungen[[#This Row],[Brutto]]-tb_rechnungen[[#This Row],[Netto]],"")</f>
        <v/>
      </c>
      <c r="R379" s="37">
        <f>IF(tb_rechnungen[[#This Row],[Netto]]&lt;&gt;0,ROUND(tb_rechnungen[[#This Row],[Steuer]]/tb_rechnungen[[#This Row],[Netto]],2),"")</f>
        <v/>
      </c>
    </row>
    <row r="380">
      <c r="A380" s="26" t="n">
        <v>46055</v>
      </c>
      <c r="B380" s="27" t="inlineStr">
        <is>
          <t>Westcon</t>
        </is>
      </c>
      <c r="C380" s="28" t="inlineStr">
        <is>
          <t>R1075603427</t>
        </is>
      </c>
      <c r="D380" s="28" t="inlineStr">
        <is>
          <t>E</t>
        </is>
      </c>
      <c r="E380" s="26" t="inlineStr">
        <is>
          <t>Trendmicro Vision One FED</t>
        </is>
      </c>
      <c r="F380" s="29" t="n">
        <v>581.25</v>
      </c>
      <c r="G380" s="29" t="n">
        <v>691.6900000000001</v>
      </c>
      <c r="H380" s="30" t="inlineStr">
        <is>
          <t>UX</t>
        </is>
      </c>
      <c r="I380" s="30" t="inlineStr">
        <is>
          <t>Z</t>
        </is>
      </c>
      <c r="J380" s="30" t="n"/>
      <c r="K380" s="50" t="n">
        <v>46066</v>
      </c>
      <c r="L380" s="50" t="n"/>
      <c r="M380" s="67" t="n"/>
      <c r="N380" s="30" t="n"/>
      <c r="O380" s="12">
        <f>IF(tb_rechnungen[[#This Row],[Re-Datum]]&gt;0,MONTH(tb_rechnungen[[#This Row],[Re-Datum]]),"")</f>
        <v/>
      </c>
      <c r="P380" s="13">
        <f>IF(tb_rechnungen[[#This Row],[Re-Datum]]&gt;0,YEAR(tb_rechnungen[[#This Row],[Re-Datum]]),"")</f>
        <v/>
      </c>
      <c r="Q380" s="19">
        <f>IF(tb_rechnungen[[#This Row],[Brutto]]&lt;&gt;0,tb_rechnungen[[#This Row],[Brutto]]-tb_rechnungen[[#This Row],[Netto]],"")</f>
        <v/>
      </c>
      <c r="R380" s="37">
        <f>IF(tb_rechnungen[[#This Row],[Netto]]&lt;&gt;0,ROUND(tb_rechnungen[[#This Row],[Steuer]]/tb_rechnungen[[#This Row],[Netto]],2),"")</f>
        <v/>
      </c>
    </row>
    <row r="381">
      <c r="A381" s="26" t="n">
        <v>46055</v>
      </c>
      <c r="B381" s="27" t="inlineStr">
        <is>
          <t>Westcon</t>
        </is>
      </c>
      <c r="C381" s="28" t="inlineStr">
        <is>
          <t>R1075603428</t>
        </is>
      </c>
      <c r="D381" s="28" t="inlineStr">
        <is>
          <t>E</t>
        </is>
      </c>
      <c r="E381" s="26" t="inlineStr">
        <is>
          <t>Trendmicro Vision One WFB</t>
        </is>
      </c>
      <c r="F381" s="29" t="n">
        <v>1953</v>
      </c>
      <c r="G381" s="29" t="n">
        <v>2324.07</v>
      </c>
      <c r="H381" s="30" t="inlineStr">
        <is>
          <t>UX</t>
        </is>
      </c>
      <c r="I381" s="30" t="inlineStr">
        <is>
          <t>Z</t>
        </is>
      </c>
      <c r="J381" s="30" t="n"/>
      <c r="K381" s="50" t="n">
        <v>46066</v>
      </c>
      <c r="L381" s="50" t="n"/>
      <c r="M381" s="67" t="n"/>
      <c r="N381" s="30" t="n"/>
      <c r="O381" s="12">
        <f>IF(tb_rechnungen[[#This Row],[Re-Datum]]&gt;0,MONTH(tb_rechnungen[[#This Row],[Re-Datum]]),"")</f>
        <v/>
      </c>
      <c r="P381" s="13">
        <f>IF(tb_rechnungen[[#This Row],[Re-Datum]]&gt;0,YEAR(tb_rechnungen[[#This Row],[Re-Datum]]),"")</f>
        <v/>
      </c>
      <c r="Q381" s="19">
        <f>IF(tb_rechnungen[[#This Row],[Brutto]]&lt;&gt;0,tb_rechnungen[[#This Row],[Brutto]]-tb_rechnungen[[#This Row],[Netto]],"")</f>
        <v/>
      </c>
      <c r="R381" s="37">
        <f>IF(tb_rechnungen[[#This Row],[Netto]]&lt;&gt;0,ROUND(tb_rechnungen[[#This Row],[Steuer]]/tb_rechnungen[[#This Row],[Netto]],2),"")</f>
        <v/>
      </c>
    </row>
    <row r="382">
      <c r="A382" s="26" t="n">
        <v>46056</v>
      </c>
      <c r="B382" s="27" t="inlineStr">
        <is>
          <t>Westcon</t>
        </is>
      </c>
      <c r="C382" s="28" t="inlineStr">
        <is>
          <t>R1075603636</t>
        </is>
      </c>
      <c r="D382" s="28" t="inlineStr">
        <is>
          <t>E</t>
        </is>
      </c>
      <c r="E382" s="26" t="inlineStr">
        <is>
          <t>Trendmicro Vision One GZI</t>
        </is>
      </c>
      <c r="F382" s="29" t="n">
        <v>204.6</v>
      </c>
      <c r="G382" s="29" t="n">
        <v>243.47</v>
      </c>
      <c r="H382" s="30" t="inlineStr">
        <is>
          <t>UX</t>
        </is>
      </c>
      <c r="I382" s="30" t="inlineStr">
        <is>
          <t>Z</t>
        </is>
      </c>
      <c r="J382" s="30" t="n"/>
      <c r="K382" s="50" t="n">
        <v>46069</v>
      </c>
      <c r="L382" s="50" t="n"/>
      <c r="M382" s="67" t="n"/>
      <c r="N382" s="30" t="n"/>
      <c r="O382" s="12">
        <f>IF(tb_rechnungen[[#This Row],[Re-Datum]]&gt;0,MONTH(tb_rechnungen[[#This Row],[Re-Datum]]),"")</f>
        <v/>
      </c>
      <c r="P382" s="13">
        <f>IF(tb_rechnungen[[#This Row],[Re-Datum]]&gt;0,YEAR(tb_rechnungen[[#This Row],[Re-Datum]]),"")</f>
        <v/>
      </c>
      <c r="Q382" s="19">
        <f>IF(tb_rechnungen[[#This Row],[Brutto]]&lt;&gt;0,tb_rechnungen[[#This Row],[Brutto]]-tb_rechnungen[[#This Row],[Netto]],"")</f>
        <v/>
      </c>
      <c r="R382" s="37">
        <f>IF(tb_rechnungen[[#This Row],[Netto]]&lt;&gt;0,ROUND(tb_rechnungen[[#This Row],[Steuer]]/tb_rechnungen[[#This Row],[Netto]],2),"")</f>
        <v/>
      </c>
    </row>
    <row r="383">
      <c r="A383" s="26" t="n">
        <v>46062</v>
      </c>
      <c r="B383" s="27" t="inlineStr">
        <is>
          <t>Stadtwerke Speyer</t>
        </is>
      </c>
      <c r="C383" s="28" t="inlineStr">
        <is>
          <t>0002ARV-2025-83783</t>
        </is>
      </c>
      <c r="D383" s="28" t="inlineStr">
        <is>
          <t>K</t>
        </is>
      </c>
      <c r="E383" s="27" t="inlineStr">
        <is>
          <t>Abrechnung 2025</t>
        </is>
      </c>
      <c r="F383" s="29" t="n">
        <v>1235</v>
      </c>
      <c r="G383" s="29" t="n">
        <v>1469.63</v>
      </c>
      <c r="H383" s="30" t="inlineStr">
        <is>
          <t>EX</t>
        </is>
      </c>
      <c r="I383" s="30" t="inlineStr">
        <is>
          <t>Z</t>
        </is>
      </c>
      <c r="J383" s="30" t="n"/>
      <c r="K383" s="50" t="n">
        <v>46080</v>
      </c>
      <c r="L383" s="50" t="n"/>
      <c r="M383" s="67" t="n"/>
      <c r="N383" s="30" t="n"/>
      <c r="O383" s="12">
        <f>IF(tb_rechnungen[[#This Row],[Re-Datum]]&gt;0,MONTH(tb_rechnungen[[#This Row],[Re-Datum]]),"")</f>
        <v/>
      </c>
      <c r="P383" s="13">
        <f>IF(tb_rechnungen[[#This Row],[Re-Datum]]&gt;0,YEAR(tb_rechnungen[[#This Row],[Re-Datum]]),"")</f>
        <v/>
      </c>
      <c r="Q383" s="19">
        <f>IF(tb_rechnungen[[#This Row],[Brutto]]&lt;&gt;0,tb_rechnungen[[#This Row],[Brutto]]-tb_rechnungen[[#This Row],[Netto]],"")</f>
        <v/>
      </c>
      <c r="R383" s="37">
        <f>IF(tb_rechnungen[[#This Row],[Netto]]&lt;&gt;0,ROUND(tb_rechnungen[[#This Row],[Steuer]]/tb_rechnungen[[#This Row],[Netto]],2),"")</f>
        <v/>
      </c>
    </row>
    <row r="384">
      <c r="A384" s="26" t="n">
        <v>46063</v>
      </c>
      <c r="B384" s="27" t="inlineStr">
        <is>
          <t>Hetzner</t>
        </is>
      </c>
      <c r="C384" s="28" t="inlineStr">
        <is>
          <t>R089000740318</t>
        </is>
      </c>
      <c r="D384" s="28" t="inlineStr">
        <is>
          <t>E</t>
        </is>
      </c>
      <c r="E384" s="27" t="inlineStr">
        <is>
          <t>FTP-Speicher GML 12/2025 + 01/2025</t>
        </is>
      </c>
      <c r="F384" s="29" t="n">
        <v>6.38</v>
      </c>
      <c r="G384" s="29" t="n">
        <v>7.6</v>
      </c>
      <c r="H384" s="30" t="inlineStr">
        <is>
          <t>EX</t>
        </is>
      </c>
      <c r="I384" s="30" t="inlineStr">
        <is>
          <t>Z</t>
        </is>
      </c>
      <c r="J384" s="30" t="n"/>
      <c r="K384" s="50" t="n">
        <v>46369</v>
      </c>
      <c r="L384" s="50" t="n"/>
      <c r="M384" s="67" t="n"/>
      <c r="N384" s="30" t="n"/>
      <c r="O384" s="12">
        <f>IF(tb_rechnungen[[#This Row],[Re-Datum]]&gt;0,MONTH(tb_rechnungen[[#This Row],[Re-Datum]]),"")</f>
        <v/>
      </c>
      <c r="P384" s="13">
        <f>IF(tb_rechnungen[[#This Row],[Re-Datum]]&gt;0,YEAR(tb_rechnungen[[#This Row],[Re-Datum]]),"")</f>
        <v/>
      </c>
      <c r="Q384" s="19">
        <f>IF(tb_rechnungen[[#This Row],[Brutto]]&lt;&gt;0,tb_rechnungen[[#This Row],[Brutto]]-tb_rechnungen[[#This Row],[Netto]],"")</f>
        <v/>
      </c>
      <c r="R384" s="37">
        <f>IF(tb_rechnungen[[#This Row],[Netto]]&lt;&gt;0,ROUND(tb_rechnungen[[#This Row],[Steuer]]/tb_rechnungen[[#This Row],[Netto]],2),"")</f>
        <v/>
      </c>
    </row>
    <row r="385">
      <c r="A385" s="26" t="n">
        <v>46063</v>
      </c>
      <c r="B385" s="27" t="inlineStr">
        <is>
          <t>Ratiokontakt</t>
        </is>
      </c>
      <c r="C385" s="28" t="inlineStr">
        <is>
          <t>R10898038</t>
        </is>
      </c>
      <c r="D385" s="28" t="inlineStr">
        <is>
          <t>E</t>
        </is>
      </c>
      <c r="E385" s="27" t="inlineStr">
        <is>
          <t>ResellerWeb bis 16.02.2026</t>
        </is>
      </c>
      <c r="F385" s="29" t="n">
        <v>29.9</v>
      </c>
      <c r="G385" s="29" t="n">
        <v>35.58</v>
      </c>
      <c r="H385" s="30" t="inlineStr">
        <is>
          <t>EX</t>
        </is>
      </c>
      <c r="I385" s="30" t="inlineStr">
        <is>
          <t>Z</t>
        </is>
      </c>
      <c r="J385" s="30" t="n"/>
      <c r="K385" s="50" t="n">
        <v>46069</v>
      </c>
      <c r="L385" s="50" t="n"/>
      <c r="M385" s="67" t="n"/>
      <c r="N385" s="30" t="n"/>
      <c r="O385" s="12">
        <f>IF(tb_rechnungen[[#This Row],[Re-Datum]]&gt;0,MONTH(tb_rechnungen[[#This Row],[Re-Datum]]),"")</f>
        <v/>
      </c>
      <c r="P385" s="13">
        <f>IF(tb_rechnungen[[#This Row],[Re-Datum]]&gt;0,YEAR(tb_rechnungen[[#This Row],[Re-Datum]]),"")</f>
        <v/>
      </c>
      <c r="Q385" s="19">
        <f>IF(tb_rechnungen[[#This Row],[Brutto]]&lt;&gt;0,tb_rechnungen[[#This Row],[Brutto]]-tb_rechnungen[[#This Row],[Netto]],"")</f>
        <v/>
      </c>
      <c r="R385" s="37">
        <f>IF(tb_rechnungen[[#This Row],[Netto]]&lt;&gt;0,ROUND(tb_rechnungen[[#This Row],[Steuer]]/tb_rechnungen[[#This Row],[Netto]],2),"")</f>
        <v/>
      </c>
    </row>
    <row r="386">
      <c r="A386" s="26" t="n">
        <v>46064</v>
      </c>
      <c r="B386" s="27" t="inlineStr">
        <is>
          <t>Telekom</t>
        </is>
      </c>
      <c r="C386" s="28" t="inlineStr">
        <is>
          <t>35 6057 7900 0551</t>
        </is>
      </c>
      <c r="D386" s="28" t="inlineStr">
        <is>
          <t>K</t>
        </is>
      </c>
      <c r="E386" s="27" t="inlineStr">
        <is>
          <t>Schulze Mobil Januar</t>
        </is>
      </c>
      <c r="F386" s="29" t="n">
        <v>13.71</v>
      </c>
      <c r="G386" s="29" t="n">
        <v>16.31</v>
      </c>
      <c r="H386" s="30" t="inlineStr">
        <is>
          <t>EX</t>
        </is>
      </c>
      <c r="I386" s="30" t="inlineStr">
        <is>
          <t>Z</t>
        </is>
      </c>
      <c r="J386" s="30" t="n"/>
      <c r="K386" s="50" t="n">
        <v>46076</v>
      </c>
      <c r="L386" s="50" t="n"/>
      <c r="M386" s="67" t="n"/>
      <c r="N386" s="30" t="n"/>
      <c r="O386" s="12">
        <f>IF(tb_rechnungen[[#This Row],[Re-Datum]]&gt;0,MONTH(tb_rechnungen[[#This Row],[Re-Datum]]),"")</f>
        <v/>
      </c>
      <c r="P386" s="13">
        <f>IF(tb_rechnungen[[#This Row],[Re-Datum]]&gt;0,YEAR(tb_rechnungen[[#This Row],[Re-Datum]]),"")</f>
        <v/>
      </c>
      <c r="Q386" s="19">
        <f>IF(tb_rechnungen[[#This Row],[Brutto]]&lt;&gt;0,tb_rechnungen[[#This Row],[Brutto]]-tb_rechnungen[[#This Row],[Netto]],"")</f>
        <v/>
      </c>
      <c r="R386" s="37">
        <f>IF(tb_rechnungen[[#This Row],[Netto]]&lt;&gt;0,ROUND(tb_rechnungen[[#This Row],[Steuer]]/tb_rechnungen[[#This Row],[Netto]],2),"")</f>
        <v/>
      </c>
    </row>
    <row r="387">
      <c r="A387" s="26" t="n">
        <v>46065</v>
      </c>
      <c r="B387" s="27" t="inlineStr">
        <is>
          <t>Sage</t>
        </is>
      </c>
      <c r="C387" s="28" t="inlineStr">
        <is>
          <t>2026-1103671</t>
        </is>
      </c>
      <c r="D387" s="28" t="inlineStr">
        <is>
          <t>K</t>
        </is>
      </c>
      <c r="E387" s="27" t="inlineStr">
        <is>
          <t>Januar</t>
        </is>
      </c>
      <c r="F387" s="29" t="n">
        <v>15.5</v>
      </c>
      <c r="G387" s="29" t="n">
        <v>18.45</v>
      </c>
      <c r="H387" s="30" t="inlineStr">
        <is>
          <t>EX</t>
        </is>
      </c>
      <c r="I387" s="30" t="inlineStr">
        <is>
          <t>Z</t>
        </is>
      </c>
      <c r="J387" s="30" t="n"/>
      <c r="K387" s="50" t="n">
        <v>46095</v>
      </c>
      <c r="L387" s="50" t="n"/>
      <c r="M387" s="67" t="n"/>
      <c r="N387" s="30" t="n"/>
      <c r="O387" s="12">
        <f>IF(tb_rechnungen[[#This Row],[Re-Datum]]&gt;0,MONTH(tb_rechnungen[[#This Row],[Re-Datum]]),"")</f>
        <v/>
      </c>
      <c r="P387" s="13">
        <f>IF(tb_rechnungen[[#This Row],[Re-Datum]]&gt;0,YEAR(tb_rechnungen[[#This Row],[Re-Datum]]),"")</f>
        <v/>
      </c>
      <c r="Q387" s="19">
        <f>IF(tb_rechnungen[[#This Row],[Brutto]]&lt;&gt;0,tb_rechnungen[[#This Row],[Brutto]]-tb_rechnungen[[#This Row],[Netto]],"")</f>
        <v/>
      </c>
      <c r="R387" s="37">
        <f>IF(tb_rechnungen[[#This Row],[Netto]]&lt;&gt;0,ROUND(tb_rechnungen[[#This Row],[Steuer]]/tb_rechnungen[[#This Row],[Netto]],2),"")</f>
        <v/>
      </c>
    </row>
    <row r="388">
      <c r="A388" s="26" t="n">
        <v>46065</v>
      </c>
      <c r="B388" s="27" t="inlineStr">
        <is>
          <t>BFS finance GmbH</t>
        </is>
      </c>
      <c r="C388" s="28" t="inlineStr">
        <is>
          <t>R14815398</t>
        </is>
      </c>
      <c r="D388" s="28" t="inlineStr">
        <is>
          <t>E</t>
        </is>
      </c>
      <c r="E388" s="27" t="inlineStr">
        <is>
          <t>Festplatte 2TB</t>
        </is>
      </c>
      <c r="F388" s="29" t="n">
        <v>87.11</v>
      </c>
      <c r="G388" s="29" t="n">
        <v>103.66</v>
      </c>
      <c r="H388" s="30" t="inlineStr">
        <is>
          <t>UX</t>
        </is>
      </c>
      <c r="I388" s="30" t="inlineStr">
        <is>
          <t>Z</t>
        </is>
      </c>
      <c r="J388" s="30" t="n"/>
      <c r="K388" s="50" t="n">
        <v>46093</v>
      </c>
      <c r="L388" s="50" t="inlineStr">
        <is>
          <t>API GmbH</t>
        </is>
      </c>
      <c r="M388" s="67" t="inlineStr">
        <is>
          <t>DE16478400804156727358</t>
        </is>
      </c>
      <c r="N388" s="30" t="n"/>
      <c r="O388" s="12">
        <f>IF(tb_rechnungen[[#This Row],[Re-Datum]]&gt;0,MONTH(tb_rechnungen[[#This Row],[Re-Datum]]),"")</f>
        <v/>
      </c>
      <c r="P388" s="13">
        <f>IF(tb_rechnungen[[#This Row],[Re-Datum]]&gt;0,YEAR(tb_rechnungen[[#This Row],[Re-Datum]]),"")</f>
        <v/>
      </c>
      <c r="Q388" s="19">
        <f>IF(tb_rechnungen[[#This Row],[Brutto]]&lt;&gt;0,tb_rechnungen[[#This Row],[Brutto]]-tb_rechnungen[[#This Row],[Netto]],"")</f>
        <v/>
      </c>
      <c r="R388" s="37">
        <f>IF(tb_rechnungen[[#This Row],[Netto]]&lt;&gt;0,ROUND(tb_rechnungen[[#This Row],[Steuer]]/tb_rechnungen[[#This Row],[Netto]],2),"")</f>
        <v/>
      </c>
    </row>
    <row r="389">
      <c r="A389" s="26" t="n">
        <v>46065</v>
      </c>
      <c r="B389" s="27" t="inlineStr">
        <is>
          <t>OPenAI</t>
        </is>
      </c>
      <c r="C389" s="28" t="inlineStr">
        <is>
          <t>7J06MMBJ-0010</t>
        </is>
      </c>
      <c r="D389" s="28" t="inlineStr">
        <is>
          <t>K</t>
        </is>
      </c>
      <c r="E389" s="27" t="inlineStr">
        <is>
          <t>ChatGpt bis 03.12.2026   20$</t>
        </is>
      </c>
      <c r="F389" s="29" t="n">
        <v>17.27</v>
      </c>
      <c r="G389" s="29" t="n">
        <v>17.27</v>
      </c>
      <c r="H389" s="30" t="inlineStr">
        <is>
          <t>EX</t>
        </is>
      </c>
      <c r="I389" s="30" t="inlineStr">
        <is>
          <t>Z</t>
        </is>
      </c>
      <c r="J389" s="30" t="n"/>
      <c r="K389" s="50" t="n">
        <v>46065</v>
      </c>
      <c r="L389" s="50" t="n"/>
      <c r="M389" s="67" t="n"/>
      <c r="N389" s="30" t="inlineStr">
        <is>
          <t>FY</t>
        </is>
      </c>
      <c r="O389" s="12">
        <f>IF(tb_rechnungen[[#This Row],[Re-Datum]]&gt;0,MONTH(tb_rechnungen[[#This Row],[Re-Datum]]),"")</f>
        <v/>
      </c>
      <c r="P389" s="13">
        <f>IF(tb_rechnungen[[#This Row],[Re-Datum]]&gt;0,YEAR(tb_rechnungen[[#This Row],[Re-Datum]]),"")</f>
        <v/>
      </c>
      <c r="Q389" s="19">
        <f>IF(tb_rechnungen[[#This Row],[Brutto]]&lt;&gt;0,tb_rechnungen[[#This Row],[Brutto]]-tb_rechnungen[[#This Row],[Netto]],"")</f>
        <v/>
      </c>
      <c r="R389" s="37">
        <f>IF(tb_rechnungen[[#This Row],[Netto]]&lt;&gt;0,ROUND(tb_rechnungen[[#This Row],[Steuer]]/tb_rechnungen[[#This Row],[Netto]],2),"")</f>
        <v/>
      </c>
    </row>
    <row r="390">
      <c r="A390" s="26" t="n">
        <v>46066</v>
      </c>
      <c r="B390" s="27" t="inlineStr">
        <is>
          <t>Telekom</t>
        </is>
      </c>
      <c r="C390" s="28" t="inlineStr">
        <is>
          <t>723 589 6713</t>
        </is>
      </c>
      <c r="D390" s="28" t="inlineStr">
        <is>
          <t>K</t>
        </is>
      </c>
      <c r="E390" s="27" t="inlineStr">
        <is>
          <t>Schulze Februar</t>
        </is>
      </c>
      <c r="F390" s="29" t="n">
        <v>36.02</v>
      </c>
      <c r="G390" s="29" t="n">
        <v>42.86</v>
      </c>
      <c r="H390" s="30" t="inlineStr">
        <is>
          <t>EX</t>
        </is>
      </c>
      <c r="I390" s="30" t="inlineStr">
        <is>
          <t>Z</t>
        </is>
      </c>
      <c r="J390" s="30" t="n"/>
      <c r="K390" s="50" t="n">
        <v>46077</v>
      </c>
      <c r="L390" s="50" t="n"/>
      <c r="M390" s="67" t="n"/>
      <c r="N390" s="30" t="n"/>
      <c r="O390" s="12">
        <f>IF(tb_rechnungen[[#This Row],[Re-Datum]]&gt;0,MONTH(tb_rechnungen[[#This Row],[Re-Datum]]),"")</f>
        <v/>
      </c>
      <c r="P390" s="13">
        <f>IF(tb_rechnungen[[#This Row],[Re-Datum]]&gt;0,YEAR(tb_rechnungen[[#This Row],[Re-Datum]]),"")</f>
        <v/>
      </c>
      <c r="Q390" s="19">
        <f>IF(tb_rechnungen[[#This Row],[Brutto]]&lt;&gt;0,tb_rechnungen[[#This Row],[Brutto]]-tb_rechnungen[[#This Row],[Netto]],"")</f>
        <v/>
      </c>
      <c r="R390" s="37">
        <f>IF(tb_rechnungen[[#This Row],[Netto]]&lt;&gt;0,ROUND(tb_rechnungen[[#This Row],[Steuer]]/tb_rechnungen[[#This Row],[Netto]],2),"")</f>
        <v/>
      </c>
    </row>
    <row r="391">
      <c r="A391" s="26" t="n">
        <v>46066</v>
      </c>
      <c r="B391" s="27" t="inlineStr">
        <is>
          <t>Blau</t>
        </is>
      </c>
      <c r="C391" s="28" t="inlineStr">
        <is>
          <t>1484280372/08</t>
        </is>
      </c>
      <c r="D391" s="28" t="inlineStr">
        <is>
          <t>K</t>
        </is>
      </c>
      <c r="E391" s="27" t="inlineStr">
        <is>
          <t>Faszl februar</t>
        </is>
      </c>
      <c r="F391" s="29" t="n">
        <v>13.44</v>
      </c>
      <c r="G391" s="29" t="n">
        <v>15.99</v>
      </c>
      <c r="H391" s="30" t="inlineStr">
        <is>
          <t>EX</t>
        </is>
      </c>
      <c r="I391" s="30" t="inlineStr">
        <is>
          <t>Z</t>
        </is>
      </c>
      <c r="J391" s="30" t="n"/>
      <c r="K391" s="50" t="n">
        <v>46073</v>
      </c>
      <c r="L391" s="50" t="n"/>
      <c r="M391" s="67" t="n"/>
      <c r="N391" s="30" t="n"/>
      <c r="O391" s="12">
        <f>IF(tb_rechnungen[[#This Row],[Re-Datum]]&gt;0,MONTH(tb_rechnungen[[#This Row],[Re-Datum]]),"")</f>
        <v/>
      </c>
      <c r="P391" s="13">
        <f>IF(tb_rechnungen[[#This Row],[Re-Datum]]&gt;0,YEAR(tb_rechnungen[[#This Row],[Re-Datum]]),"")</f>
        <v/>
      </c>
      <c r="Q391" s="19">
        <f>IF(tb_rechnungen[[#This Row],[Brutto]]&lt;&gt;0,tb_rechnungen[[#This Row],[Brutto]]-tb_rechnungen[[#This Row],[Netto]],"")</f>
        <v/>
      </c>
      <c r="R391" s="37">
        <f>IF(tb_rechnungen[[#This Row],[Netto]]&lt;&gt;0,ROUND(tb_rechnungen[[#This Row],[Steuer]]/tb_rechnungen[[#This Row],[Netto]],2),"")</f>
        <v/>
      </c>
    </row>
    <row r="392">
      <c r="A392" s="26" t="n">
        <v>46069</v>
      </c>
      <c r="B392" s="27" t="inlineStr">
        <is>
          <t>GEZ</t>
        </is>
      </c>
      <c r="C392" s="28" t="inlineStr">
        <is>
          <t>B242261800</t>
        </is>
      </c>
      <c r="D392" s="28" t="inlineStr">
        <is>
          <t>K</t>
        </is>
      </c>
      <c r="E392" s="27" t="inlineStr">
        <is>
          <t>Q1/2026</t>
        </is>
      </c>
      <c r="F392" s="29" t="n">
        <v>91.8</v>
      </c>
      <c r="G392" s="29" t="n">
        <v>91.8</v>
      </c>
      <c r="H392" s="30" t="inlineStr">
        <is>
          <t>EX</t>
        </is>
      </c>
      <c r="I392" s="30" t="inlineStr">
        <is>
          <t>Z</t>
        </is>
      </c>
      <c r="J392" s="30" t="n"/>
      <c r="K392" s="50" t="n">
        <v>46069</v>
      </c>
      <c r="L392" s="50" t="n"/>
      <c r="M392" s="67" t="n"/>
      <c r="N392" s="30" t="n"/>
      <c r="O392" s="12">
        <f>IF(tb_rechnungen[[#This Row],[Re-Datum]]&gt;0,MONTH(tb_rechnungen[[#This Row],[Re-Datum]]),"")</f>
        <v/>
      </c>
      <c r="P392" s="13">
        <f>IF(tb_rechnungen[[#This Row],[Re-Datum]]&gt;0,YEAR(tb_rechnungen[[#This Row],[Re-Datum]]),"")</f>
        <v/>
      </c>
      <c r="Q392" s="19">
        <f>IF(tb_rechnungen[[#This Row],[Brutto]]&lt;&gt;0,tb_rechnungen[[#This Row],[Brutto]]-tb_rechnungen[[#This Row],[Netto]],"")</f>
        <v/>
      </c>
      <c r="R392" s="37">
        <f>IF(tb_rechnungen[[#This Row],[Netto]]&lt;&gt;0,ROUND(tb_rechnungen[[#This Row],[Steuer]]/tb_rechnungen[[#This Row],[Netto]],2),"")</f>
        <v/>
      </c>
    </row>
    <row r="393">
      <c r="A393" s="26" t="n">
        <v>46068</v>
      </c>
      <c r="B393" s="27" t="inlineStr">
        <is>
          <t>Wolkesicher</t>
        </is>
      </c>
      <c r="C393" s="28" t="inlineStr">
        <is>
          <t>R412669</t>
        </is>
      </c>
      <c r="D393" s="28" t="inlineStr">
        <is>
          <t>K</t>
        </is>
      </c>
      <c r="E393" s="27" t="inlineStr">
        <is>
          <t>März</t>
        </is>
      </c>
      <c r="F393" s="29" t="n">
        <v>4.19</v>
      </c>
      <c r="G393" s="29" t="n">
        <v>4.99</v>
      </c>
      <c r="H393" s="30" t="inlineStr">
        <is>
          <t>EX</t>
        </is>
      </c>
      <c r="I393" s="30" t="inlineStr">
        <is>
          <t>Z</t>
        </is>
      </c>
      <c r="J393" s="30" t="n"/>
      <c r="K393" s="50" t="n">
        <v>46082</v>
      </c>
      <c r="L393" s="50" t="n"/>
      <c r="M393" s="67" t="n"/>
      <c r="N393" s="30" t="n"/>
      <c r="O393" s="12">
        <f>IF(tb_rechnungen[[#This Row],[Re-Datum]]&gt;0,MONTH(tb_rechnungen[[#This Row],[Re-Datum]]),"")</f>
        <v/>
      </c>
      <c r="P393" s="13">
        <f>IF(tb_rechnungen[[#This Row],[Re-Datum]]&gt;0,YEAR(tb_rechnungen[[#This Row],[Re-Datum]]),"")</f>
        <v/>
      </c>
      <c r="Q393" s="19">
        <f>IF(tb_rechnungen[[#This Row],[Brutto]]&lt;&gt;0,tb_rechnungen[[#This Row],[Brutto]]-tb_rechnungen[[#This Row],[Netto]],"")</f>
        <v/>
      </c>
      <c r="R393" s="37">
        <f>IF(tb_rechnungen[[#This Row],[Netto]]&lt;&gt;0,ROUND(tb_rechnungen[[#This Row],[Steuer]]/tb_rechnungen[[#This Row],[Netto]],2),"")</f>
        <v/>
      </c>
    </row>
    <row r="394">
      <c r="A394" s="26" t="n">
        <v>46070</v>
      </c>
      <c r="B394" s="27" t="inlineStr">
        <is>
          <t>Infinigate</t>
        </is>
      </c>
      <c r="C394" s="28" t="inlineStr">
        <is>
          <t>PSI-23419955</t>
        </is>
      </c>
      <c r="D394" s="28" t="inlineStr">
        <is>
          <t>E</t>
        </is>
      </c>
      <c r="E394" s="27" t="inlineStr">
        <is>
          <t>2xWG-Support T15  bis EOL 1.3.27 GML</t>
        </is>
      </c>
      <c r="F394" s="29" t="n">
        <v>271.49</v>
      </c>
      <c r="G394" s="29" t="n">
        <v>323.07</v>
      </c>
      <c r="H394" s="30" t="inlineStr">
        <is>
          <t>UX</t>
        </is>
      </c>
      <c r="I394" s="30" t="inlineStr">
        <is>
          <t>Z</t>
        </is>
      </c>
      <c r="J394" s="30" t="n"/>
      <c r="K394" s="50" t="n">
        <v>46084</v>
      </c>
      <c r="L394" s="50" t="n"/>
      <c r="M394" s="67" t="inlineStr">
        <is>
          <t>DE75700202700085805185</t>
        </is>
      </c>
      <c r="N394" s="30" t="n"/>
      <c r="O394" s="12">
        <f>IF(tb_rechnungen[[#This Row],[Re-Datum]]&gt;0,MONTH(tb_rechnungen[[#This Row],[Re-Datum]]),"")</f>
        <v/>
      </c>
      <c r="P394" s="13">
        <f>IF(tb_rechnungen[[#This Row],[Re-Datum]]&gt;0,YEAR(tb_rechnungen[[#This Row],[Re-Datum]]),"")</f>
        <v/>
      </c>
      <c r="Q394" s="19">
        <f>IF(tb_rechnungen[[#This Row],[Brutto]]&lt;&gt;0,tb_rechnungen[[#This Row],[Brutto]]-tb_rechnungen[[#This Row],[Netto]],"")</f>
        <v/>
      </c>
      <c r="R394" s="37">
        <f>IF(tb_rechnungen[[#This Row],[Netto]]&lt;&gt;0,ROUND(tb_rechnungen[[#This Row],[Steuer]]/tb_rechnungen[[#This Row],[Netto]],2),"")</f>
        <v/>
      </c>
    </row>
    <row r="395">
      <c r="A395" s="26" t="n">
        <v>46071</v>
      </c>
      <c r="B395" s="27" t="inlineStr">
        <is>
          <t>Telekom</t>
        </is>
      </c>
      <c r="C395" s="28" t="inlineStr">
        <is>
          <t>723 8655399</t>
        </is>
      </c>
      <c r="D395" s="28" t="inlineStr">
        <is>
          <t>K</t>
        </is>
      </c>
      <c r="E395" s="27" t="inlineStr">
        <is>
          <t>Faszl februar</t>
        </is>
      </c>
      <c r="F395" s="29" t="n">
        <v>37.77</v>
      </c>
      <c r="G395" s="29" t="n">
        <v>44.95</v>
      </c>
      <c r="H395" s="30" t="inlineStr">
        <is>
          <t>EX</t>
        </is>
      </c>
      <c r="I395" s="30" t="inlineStr">
        <is>
          <t>Z</t>
        </is>
      </c>
      <c r="J395" s="30" t="n"/>
      <c r="K395" s="50" t="n">
        <v>46080</v>
      </c>
      <c r="L395" s="50" t="n"/>
      <c r="M395" s="67" t="n"/>
      <c r="N395" s="30" t="n"/>
      <c r="O395" s="12">
        <f>IF(tb_rechnungen[[#This Row],[Re-Datum]]&gt;0,MONTH(tb_rechnungen[[#This Row],[Re-Datum]]),"")</f>
        <v/>
      </c>
      <c r="P395" s="13">
        <f>IF(tb_rechnungen[[#This Row],[Re-Datum]]&gt;0,YEAR(tb_rechnungen[[#This Row],[Re-Datum]]),"")</f>
        <v/>
      </c>
      <c r="Q395" s="19">
        <f>IF(tb_rechnungen[[#This Row],[Brutto]]&lt;&gt;0,tb_rechnungen[[#This Row],[Brutto]]-tb_rechnungen[[#This Row],[Netto]],"")</f>
        <v/>
      </c>
      <c r="R395" s="37">
        <f>IF(tb_rechnungen[[#This Row],[Netto]]&lt;&gt;0,ROUND(tb_rechnungen[[#This Row],[Steuer]]/tb_rechnungen[[#This Row],[Netto]],2),"")</f>
        <v/>
      </c>
    </row>
    <row r="396">
      <c r="A396" s="26" t="n">
        <v>46071</v>
      </c>
      <c r="B396" s="27" t="inlineStr">
        <is>
          <t>Elovade</t>
        </is>
      </c>
      <c r="C396" s="28" t="inlineStr">
        <is>
          <t>R1294160</t>
        </is>
      </c>
      <c r="D396" s="28" t="inlineStr">
        <is>
          <t>E</t>
        </is>
      </c>
      <c r="E396" s="27" t="inlineStr">
        <is>
          <t>Mailstore Wartung 3 JWFB</t>
        </is>
      </c>
      <c r="F396" s="29" t="n">
        <v>1119.3</v>
      </c>
      <c r="G396" s="29" t="n">
        <v>1331.97</v>
      </c>
      <c r="H396" s="30" t="inlineStr">
        <is>
          <t>EX</t>
        </is>
      </c>
      <c r="I396" s="30" t="inlineStr">
        <is>
          <t>Z</t>
        </is>
      </c>
      <c r="J396" s="30" t="n"/>
      <c r="K396" s="50" t="n">
        <v>46085</v>
      </c>
      <c r="L396" s="50" t="n"/>
      <c r="M396" s="67" t="n"/>
      <c r="N396" s="30" t="n"/>
      <c r="O396" s="12">
        <f>IF(tb_rechnungen[[#This Row],[Re-Datum]]&gt;0,MONTH(tb_rechnungen[[#This Row],[Re-Datum]]),"")</f>
        <v/>
      </c>
      <c r="P396" s="13">
        <f>IF(tb_rechnungen[[#This Row],[Re-Datum]]&gt;0,YEAR(tb_rechnungen[[#This Row],[Re-Datum]]),"")</f>
        <v/>
      </c>
      <c r="Q396" s="19">
        <f>IF(tb_rechnungen[[#This Row],[Brutto]]&lt;&gt;0,tb_rechnungen[[#This Row],[Brutto]]-tb_rechnungen[[#This Row],[Netto]],"")</f>
        <v/>
      </c>
      <c r="R396" s="37">
        <f>IF(tb_rechnungen[[#This Row],[Netto]]&lt;&gt;0,ROUND(tb_rechnungen[[#This Row],[Steuer]]/tb_rechnungen[[#This Row],[Netto]],2),"")</f>
        <v/>
      </c>
    </row>
    <row r="397">
      <c r="A397" s="26" t="n">
        <v>46072</v>
      </c>
      <c r="B397" s="27" t="inlineStr">
        <is>
          <t>DKV</t>
        </is>
      </c>
      <c r="C397" s="28" t="inlineStr">
        <is>
          <t>26-649783217-00</t>
        </is>
      </c>
      <c r="D397" s="28" t="inlineStr">
        <is>
          <t>K</t>
        </is>
      </c>
      <c r="E397" s="27" t="inlineStr">
        <is>
          <t>Februar</t>
        </is>
      </c>
      <c r="F397" s="29" t="n">
        <v>274.33</v>
      </c>
      <c r="G397" s="29" t="n">
        <v>326.45</v>
      </c>
      <c r="H397" s="30" t="inlineStr">
        <is>
          <t>EX</t>
        </is>
      </c>
      <c r="I397" s="30" t="inlineStr">
        <is>
          <t>Z</t>
        </is>
      </c>
      <c r="J397" s="30" t="n"/>
      <c r="K397" s="50" t="n">
        <v>46075</v>
      </c>
      <c r="L397" s="50" t="n"/>
      <c r="M397" s="67" t="n"/>
      <c r="N397" s="30" t="n"/>
      <c r="O397" s="12">
        <f>IF(tb_rechnungen[[#This Row],[Re-Datum]]&gt;0,MONTH(tb_rechnungen[[#This Row],[Re-Datum]]),"")</f>
        <v/>
      </c>
      <c r="P397" s="13">
        <f>IF(tb_rechnungen[[#This Row],[Re-Datum]]&gt;0,YEAR(tb_rechnungen[[#This Row],[Re-Datum]]),"")</f>
        <v/>
      </c>
      <c r="Q397" s="19">
        <f>IF(tb_rechnungen[[#This Row],[Brutto]]&lt;&gt;0,tb_rechnungen[[#This Row],[Brutto]]-tb_rechnungen[[#This Row],[Netto]],"")</f>
        <v/>
      </c>
      <c r="R397" s="37">
        <f>IF(tb_rechnungen[[#This Row],[Netto]]&lt;&gt;0,ROUND(tb_rechnungen[[#This Row],[Steuer]]/tb_rechnungen[[#This Row],[Netto]],2),"")</f>
        <v/>
      </c>
    </row>
    <row r="398">
      <c r="A398" s="26" t="n">
        <v>46059</v>
      </c>
      <c r="B398" s="27" t="inlineStr">
        <is>
          <t>IHK Pfalz</t>
        </is>
      </c>
      <c r="C398" s="28" t="inlineStr">
        <is>
          <t>B3041644100263</t>
        </is>
      </c>
      <c r="D398" s="28" t="inlineStr">
        <is>
          <t>K</t>
        </is>
      </c>
      <c r="E398" s="27" t="inlineStr">
        <is>
          <t>IHK Beitrag 2026</t>
        </is>
      </c>
      <c r="F398" s="29" t="n">
        <v>150</v>
      </c>
      <c r="G398" s="29" t="n">
        <v>150</v>
      </c>
      <c r="H398" s="30" t="inlineStr">
        <is>
          <t>UX</t>
        </is>
      </c>
      <c r="I398" s="30" t="inlineStr">
        <is>
          <t>Z</t>
        </is>
      </c>
      <c r="J398" s="30" t="n"/>
      <c r="K398" s="50" t="n">
        <v>46083</v>
      </c>
      <c r="L398" s="50" t="n"/>
      <c r="M398" s="67" t="inlineStr">
        <is>
          <t>DE73545700940013311600</t>
        </is>
      </c>
      <c r="N398" s="30" t="n"/>
      <c r="O398" s="12">
        <f>IF(tb_rechnungen[[#This Row],[Re-Datum]]&gt;0,MONTH(tb_rechnungen[[#This Row],[Re-Datum]]),"")</f>
        <v/>
      </c>
      <c r="P398" s="13">
        <f>IF(tb_rechnungen[[#This Row],[Re-Datum]]&gt;0,YEAR(tb_rechnungen[[#This Row],[Re-Datum]]),"")</f>
        <v/>
      </c>
      <c r="Q398" s="19">
        <f>IF(tb_rechnungen[[#This Row],[Brutto]]&lt;&gt;0,tb_rechnungen[[#This Row],[Brutto]]-tb_rechnungen[[#This Row],[Netto]],"")</f>
        <v/>
      </c>
      <c r="R398" s="37">
        <f>IF(tb_rechnungen[[#This Row],[Netto]]&lt;&gt;0,ROUND(tb_rechnungen[[#This Row],[Steuer]]/tb_rechnungen[[#This Row],[Netto]],2),"")</f>
        <v/>
      </c>
    </row>
    <row r="399">
      <c r="A399" s="26" t="n">
        <v>46078</v>
      </c>
      <c r="B399" s="27" t="inlineStr">
        <is>
          <t>PSW</t>
        </is>
      </c>
      <c r="C399" s="28" t="inlineStr">
        <is>
          <t>RG12606324</t>
        </is>
      </c>
      <c r="D399" s="28" t="inlineStr">
        <is>
          <t>E</t>
        </is>
      </c>
      <c r="E399" s="27" t="inlineStr">
        <is>
          <t>SSL-Zert. Ftp.gml-ludwigshafen.de</t>
        </is>
      </c>
      <c r="F399" s="29" t="n">
        <v>13.61</v>
      </c>
      <c r="G399" s="29" t="n">
        <v>16.2</v>
      </c>
      <c r="H399" s="30" t="inlineStr">
        <is>
          <t>EX</t>
        </is>
      </c>
      <c r="I399" s="30" t="inlineStr">
        <is>
          <t>Z</t>
        </is>
      </c>
      <c r="J399" s="30" t="n"/>
      <c r="K399" s="50" t="n">
        <v>46080</v>
      </c>
      <c r="L399" s="50" t="n"/>
      <c r="M399" s="67" t="n"/>
      <c r="N399" s="30" t="n"/>
      <c r="O399" s="12">
        <f>IF(tb_rechnungen[[#This Row],[Re-Datum]]&gt;0,MONTH(tb_rechnungen[[#This Row],[Re-Datum]]),"")</f>
        <v/>
      </c>
      <c r="P399" s="13">
        <f>IF(tb_rechnungen[[#This Row],[Re-Datum]]&gt;0,YEAR(tb_rechnungen[[#This Row],[Re-Datum]]),"")</f>
        <v/>
      </c>
      <c r="Q399" s="19">
        <f>IF(tb_rechnungen[[#This Row],[Brutto]]&lt;&gt;0,tb_rechnungen[[#This Row],[Brutto]]-tb_rechnungen[[#This Row],[Netto]],"")</f>
        <v/>
      </c>
      <c r="R399" s="37">
        <f>IF(tb_rechnungen[[#This Row],[Netto]]&lt;&gt;0,ROUND(tb_rechnungen[[#This Row],[Steuer]]/tb_rechnungen[[#This Row],[Netto]],2),"")</f>
        <v/>
      </c>
    </row>
    <row r="400">
      <c r="A400" s="26" t="n">
        <v>46078</v>
      </c>
      <c r="B400" s="27" t="inlineStr">
        <is>
          <t>Telekom</t>
        </is>
      </c>
      <c r="C400" s="28" t="inlineStr">
        <is>
          <t>724 237 8674</t>
        </is>
      </c>
      <c r="D400" s="28" t="inlineStr">
        <is>
          <t>K</t>
        </is>
      </c>
      <c r="E400" s="27" t="inlineStr">
        <is>
          <t>Schulze März</t>
        </is>
      </c>
      <c r="F400" s="29" t="n">
        <v>39.9</v>
      </c>
      <c r="G400" s="29" t="n">
        <v>47.48</v>
      </c>
      <c r="H400" s="30" t="inlineStr">
        <is>
          <t>EX</t>
        </is>
      </c>
      <c r="I400" s="30" t="inlineStr">
        <is>
          <t>Z</t>
        </is>
      </c>
      <c r="J400" s="30" t="n"/>
      <c r="K400" s="50" t="n">
        <v>46087</v>
      </c>
      <c r="L400" s="50" t="n"/>
      <c r="M400" s="67" t="n"/>
      <c r="N400" s="30" t="n"/>
      <c r="O400" s="12">
        <f>IF(tb_rechnungen[[#This Row],[Re-Datum]]&gt;0,MONTH(tb_rechnungen[[#This Row],[Re-Datum]]),"")</f>
        <v/>
      </c>
      <c r="P400" s="13">
        <f>IF(tb_rechnungen[[#This Row],[Re-Datum]]&gt;0,YEAR(tb_rechnungen[[#This Row],[Re-Datum]]),"")</f>
        <v/>
      </c>
      <c r="Q400" s="19">
        <f>IF(tb_rechnungen[[#This Row],[Brutto]]&lt;&gt;0,tb_rechnungen[[#This Row],[Brutto]]-tb_rechnungen[[#This Row],[Netto]],"")</f>
        <v/>
      </c>
      <c r="R400" s="37">
        <f>IF(tb_rechnungen[[#This Row],[Netto]]&lt;&gt;0,ROUND(tb_rechnungen[[#This Row],[Steuer]]/tb_rechnungen[[#This Row],[Netto]],2),"")</f>
        <v/>
      </c>
    </row>
    <row r="401">
      <c r="A401" s="26" t="n">
        <v>46077</v>
      </c>
      <c r="B401" s="27" t="inlineStr">
        <is>
          <t>OPenAI</t>
        </is>
      </c>
      <c r="C401" s="28" t="inlineStr">
        <is>
          <t>EINUE9O4-0001</t>
        </is>
      </c>
      <c r="D401" s="28" t="inlineStr">
        <is>
          <t>K</t>
        </is>
      </c>
      <c r="E401" s="27" t="inlineStr">
        <is>
          <t>Go Subskriptio</t>
        </is>
      </c>
      <c r="F401" s="29" t="n">
        <v>6.72</v>
      </c>
      <c r="G401" s="29" t="n">
        <v>6.72</v>
      </c>
      <c r="H401" s="30" t="inlineStr">
        <is>
          <t>EX</t>
        </is>
      </c>
      <c r="I401" s="30" t="inlineStr">
        <is>
          <t>Z</t>
        </is>
      </c>
      <c r="J401" s="30" t="n"/>
      <c r="K401" s="50" t="n">
        <v>46078</v>
      </c>
      <c r="L401" s="50" t="n"/>
      <c r="M401" s="67" t="n"/>
      <c r="N401" s="30" t="inlineStr">
        <is>
          <t>FY</t>
        </is>
      </c>
      <c r="O401" s="12">
        <f>IF(tb_rechnungen[[#This Row],[Re-Datum]]&gt;0,MONTH(tb_rechnungen[[#This Row],[Re-Datum]]),"")</f>
        <v/>
      </c>
      <c r="P401" s="13">
        <f>IF(tb_rechnungen[[#This Row],[Re-Datum]]&gt;0,YEAR(tb_rechnungen[[#This Row],[Re-Datum]]),"")</f>
        <v/>
      </c>
      <c r="Q401" s="19">
        <f>IF(tb_rechnungen[[#This Row],[Brutto]]&lt;&gt;0,tb_rechnungen[[#This Row],[Brutto]]-tb_rechnungen[[#This Row],[Netto]],"")</f>
        <v/>
      </c>
      <c r="R401" s="37">
        <f>IF(tb_rechnungen[[#This Row],[Netto]]&lt;&gt;0,ROUND(tb_rechnungen[[#This Row],[Steuer]]/tb_rechnungen[[#This Row],[Netto]],2),"")</f>
        <v/>
      </c>
    </row>
    <row r="402">
      <c r="A402" s="26" t="n">
        <v>46081</v>
      </c>
      <c r="B402" s="27" t="inlineStr">
        <is>
          <t>NFON</t>
        </is>
      </c>
      <c r="C402" s="28" t="inlineStr">
        <is>
          <t>26-13-177839</t>
        </is>
      </c>
      <c r="D402" s="28" t="inlineStr">
        <is>
          <t>K</t>
        </is>
      </c>
      <c r="E402" s="27" t="inlineStr">
        <is>
          <t>Februar</t>
        </is>
      </c>
      <c r="F402" s="29" t="n">
        <v>33.57</v>
      </c>
      <c r="G402" s="29" t="n">
        <v>39.95</v>
      </c>
      <c r="H402" s="30" t="inlineStr">
        <is>
          <t>EX</t>
        </is>
      </c>
      <c r="I402" s="30" t="inlineStr">
        <is>
          <t>Z</t>
        </is>
      </c>
      <c r="J402" s="30" t="n"/>
      <c r="K402" s="50" t="n">
        <v>46091</v>
      </c>
      <c r="L402" s="50" t="n"/>
      <c r="M402" s="67" t="n"/>
      <c r="N402" s="30" t="n"/>
      <c r="O402" s="12">
        <f>IF(tb_rechnungen[[#This Row],[Re-Datum]]&gt;0,MONTH(tb_rechnungen[[#This Row],[Re-Datum]]),"")</f>
        <v/>
      </c>
      <c r="P402" s="13">
        <f>IF(tb_rechnungen[[#This Row],[Re-Datum]]&gt;0,YEAR(tb_rechnungen[[#This Row],[Re-Datum]]),"")</f>
        <v/>
      </c>
      <c r="Q402" s="19">
        <f>IF(tb_rechnungen[[#This Row],[Brutto]]&lt;&gt;0,tb_rechnungen[[#This Row],[Brutto]]-tb_rechnungen[[#This Row],[Netto]],"")</f>
        <v/>
      </c>
      <c r="R402" s="37">
        <f>IF(tb_rechnungen[[#This Row],[Netto]]&lt;&gt;0,ROUND(tb_rechnungen[[#This Row],[Steuer]]/tb_rechnungen[[#This Row],[Netto]],2),"")</f>
        <v/>
      </c>
    </row>
    <row r="403">
      <c r="A403" s="26" t="n">
        <v>46081</v>
      </c>
      <c r="B403" s="27" t="inlineStr">
        <is>
          <t>DKV</t>
        </is>
      </c>
      <c r="C403" s="28" t="inlineStr">
        <is>
          <t>26/650056632/001</t>
        </is>
      </c>
      <c r="D403" s="28" t="inlineStr">
        <is>
          <t>K</t>
        </is>
      </c>
      <c r="E403" s="27" t="inlineStr">
        <is>
          <t>Februar</t>
        </is>
      </c>
      <c r="F403" s="29" t="n">
        <v>114.56</v>
      </c>
      <c r="G403" s="29" t="n">
        <v>136.33</v>
      </c>
      <c r="H403" s="30" t="inlineStr">
        <is>
          <t>EX</t>
        </is>
      </c>
      <c r="I403" s="30" t="inlineStr">
        <is>
          <t>Z</t>
        </is>
      </c>
      <c r="J403" s="30" t="n"/>
      <c r="K403" s="50" t="n">
        <v>46091</v>
      </c>
      <c r="L403" s="50" t="n"/>
      <c r="M403" s="67" t="n"/>
      <c r="N403" s="30" t="n"/>
      <c r="O403" s="12">
        <f>IF(tb_rechnungen[[#This Row],[Re-Datum]]&gt;0,MONTH(tb_rechnungen[[#This Row],[Re-Datum]]),"")</f>
        <v/>
      </c>
      <c r="P403" s="13">
        <f>IF(tb_rechnungen[[#This Row],[Re-Datum]]&gt;0,YEAR(tb_rechnungen[[#This Row],[Re-Datum]]),"")</f>
        <v/>
      </c>
      <c r="Q403" s="19">
        <f>IF(tb_rechnungen[[#This Row],[Brutto]]&lt;&gt;0,tb_rechnungen[[#This Row],[Brutto]]-tb_rechnungen[[#This Row],[Netto]],"")</f>
        <v/>
      </c>
      <c r="R403" s="37">
        <f>IF(tb_rechnungen[[#This Row],[Netto]]&lt;&gt;0,ROUND(tb_rechnungen[[#This Row],[Steuer]]/tb_rechnungen[[#This Row],[Netto]],2),"")</f>
        <v/>
      </c>
    </row>
    <row r="404">
      <c r="A404" s="26" t="n">
        <v>46082</v>
      </c>
      <c r="B404" s="27" t="inlineStr">
        <is>
          <t>VW Leasing</t>
        </is>
      </c>
      <c r="C404" s="28" t="inlineStr">
        <is>
          <t>R102628401124</t>
        </is>
      </c>
      <c r="D404" s="28" t="inlineStr">
        <is>
          <t>K</t>
        </is>
      </c>
      <c r="E404" s="27" t="inlineStr">
        <is>
          <t>März</t>
        </is>
      </c>
      <c r="F404" s="29" t="n">
        <v>37.43</v>
      </c>
      <c r="G404" s="29" t="n">
        <v>44.54</v>
      </c>
      <c r="H404" s="30" t="inlineStr">
        <is>
          <t>EX</t>
        </is>
      </c>
      <c r="I404" s="30" t="inlineStr">
        <is>
          <t>Z</t>
        </is>
      </c>
      <c r="J404" s="30" t="n"/>
      <c r="K404" s="50" t="n">
        <v>46086</v>
      </c>
      <c r="L404" s="50" t="n"/>
      <c r="M404" s="67" t="n"/>
      <c r="N404" s="30" t="n"/>
      <c r="O404" s="12">
        <f>IF(tb_rechnungen[[#This Row],[Re-Datum]]&gt;0,MONTH(tb_rechnungen[[#This Row],[Re-Datum]]),"")</f>
        <v/>
      </c>
      <c r="P404" s="13">
        <f>IF(tb_rechnungen[[#This Row],[Re-Datum]]&gt;0,YEAR(tb_rechnungen[[#This Row],[Re-Datum]]),"")</f>
        <v/>
      </c>
      <c r="Q404" s="19">
        <f>IF(tb_rechnungen[[#This Row],[Brutto]]&lt;&gt;0,tb_rechnungen[[#This Row],[Brutto]]-tb_rechnungen[[#This Row],[Netto]],"")</f>
        <v/>
      </c>
      <c r="R404" s="37">
        <f>IF(tb_rechnungen[[#This Row],[Netto]]&lt;&gt;0,ROUND(tb_rechnungen[[#This Row],[Steuer]]/tb_rechnungen[[#This Row],[Netto]],2),"")</f>
        <v/>
      </c>
    </row>
    <row r="405">
      <c r="A405" s="26" t="n">
        <v>46083</v>
      </c>
      <c r="B405" s="27" t="inlineStr">
        <is>
          <t>FinBC</t>
        </is>
      </c>
      <c r="C405" s="28" t="inlineStr">
        <is>
          <t>SJMAOFZB-0025</t>
        </is>
      </c>
      <c r="D405" s="28" t="inlineStr">
        <is>
          <t>E</t>
        </is>
      </c>
      <c r="E405" s="27" t="inlineStr">
        <is>
          <t>März Rechnungsapi.de SWN</t>
        </is>
      </c>
      <c r="F405" s="29" t="n">
        <v>8.390000000000001</v>
      </c>
      <c r="G405" s="29" t="n">
        <v>9.99</v>
      </c>
      <c r="H405" s="30" t="inlineStr">
        <is>
          <t>EX</t>
        </is>
      </c>
      <c r="I405" s="30" t="inlineStr">
        <is>
          <t>Z</t>
        </is>
      </c>
      <c r="J405" s="30" t="n"/>
      <c r="K405" s="50" t="n">
        <v>46083</v>
      </c>
      <c r="L405" s="50" t="n"/>
      <c r="M405" s="67" t="n"/>
      <c r="N405" s="30" t="inlineStr">
        <is>
          <t>FY</t>
        </is>
      </c>
      <c r="O405" s="12">
        <f>IF(tb_rechnungen[[#This Row],[Re-Datum]]&gt;0,MONTH(tb_rechnungen[[#This Row],[Re-Datum]]),"")</f>
        <v/>
      </c>
      <c r="P405" s="13">
        <f>IF(tb_rechnungen[[#This Row],[Re-Datum]]&gt;0,YEAR(tb_rechnungen[[#This Row],[Re-Datum]]),"")</f>
        <v/>
      </c>
      <c r="Q405" s="19">
        <f>IF(tb_rechnungen[[#This Row],[Brutto]]&lt;&gt;0,tb_rechnungen[[#This Row],[Brutto]]-tb_rechnungen[[#This Row],[Netto]],"")</f>
        <v/>
      </c>
      <c r="R405" s="37">
        <f>IF(tb_rechnungen[[#This Row],[Netto]]&lt;&gt;0,ROUND(tb_rechnungen[[#This Row],[Steuer]]/tb_rechnungen[[#This Row],[Netto]],2),"")</f>
        <v/>
      </c>
    </row>
    <row r="406">
      <c r="A406" s="26" t="n">
        <v>46089</v>
      </c>
      <c r="B406" s="27" t="inlineStr">
        <is>
          <t>Wortmann AG</t>
        </is>
      </c>
      <c r="C406" s="28" t="inlineStr">
        <is>
          <t>DR9216466</t>
        </is>
      </c>
      <c r="D406" s="28" t="inlineStr">
        <is>
          <t>E</t>
        </is>
      </c>
      <c r="E406" s="27" t="inlineStr">
        <is>
          <t>Terracloud M365 Bavkup VEH</t>
        </is>
      </c>
      <c r="F406" s="29" t="n">
        <v>14.9</v>
      </c>
      <c r="G406" s="29" t="n">
        <v>17.73</v>
      </c>
      <c r="H406" s="30" t="inlineStr">
        <is>
          <t>UX</t>
        </is>
      </c>
      <c r="I406" s="30" t="inlineStr">
        <is>
          <t>Z</t>
        </is>
      </c>
      <c r="J406" s="30" t="n"/>
      <c r="K406" s="50" t="n">
        <v>46101</v>
      </c>
      <c r="L406" s="50" t="n"/>
      <c r="M406" s="67" t="inlineStr">
        <is>
          <t>DE85490501010002006138</t>
        </is>
      </c>
      <c r="N406" s="30" t="n"/>
      <c r="O406" s="12">
        <f>IF(tb_rechnungen[[#This Row],[Re-Datum]]&gt;0,MONTH(tb_rechnungen[[#This Row],[Re-Datum]]),"")</f>
        <v/>
      </c>
      <c r="P406" s="13">
        <f>IF(tb_rechnungen[[#This Row],[Re-Datum]]&gt;0,YEAR(tb_rechnungen[[#This Row],[Re-Datum]]),"")</f>
        <v/>
      </c>
      <c r="Q406" s="19">
        <f>IF(tb_rechnungen[[#This Row],[Brutto]]&lt;&gt;0,tb_rechnungen[[#This Row],[Brutto]]-tb_rechnungen[[#This Row],[Netto]],"")</f>
        <v/>
      </c>
      <c r="R406" s="37">
        <f>IF(tb_rechnungen[[#This Row],[Netto]]&lt;&gt;0,ROUND(tb_rechnungen[[#This Row],[Steuer]]/tb_rechnungen[[#This Row],[Netto]],2),"")</f>
        <v/>
      </c>
    </row>
    <row r="407">
      <c r="A407" s="26" t="n">
        <v>46091</v>
      </c>
      <c r="B407" s="27" t="inlineStr">
        <is>
          <t>Ratiokontakt</t>
        </is>
      </c>
      <c r="C407" s="28" t="inlineStr">
        <is>
          <t>R10900491</t>
        </is>
      </c>
      <c r="D407" s="28" t="inlineStr">
        <is>
          <t>E</t>
        </is>
      </c>
      <c r="E407" s="27" t="inlineStr">
        <is>
          <t>Bis 16.03.2026</t>
        </is>
      </c>
      <c r="F407" s="29" t="n">
        <v>65.54000000000001</v>
      </c>
      <c r="G407" s="29" t="n">
        <v>77.98999999999999</v>
      </c>
      <c r="H407" s="30" t="inlineStr">
        <is>
          <t>EX</t>
        </is>
      </c>
      <c r="I407" s="30" t="inlineStr">
        <is>
          <t>Z</t>
        </is>
      </c>
      <c r="J407" s="30" t="n"/>
      <c r="K407" s="50" t="n">
        <v>46097</v>
      </c>
      <c r="L407" s="50" t="n"/>
      <c r="M407" s="67" t="n"/>
      <c r="N407" s="30" t="n"/>
      <c r="O407" s="12">
        <f>IF(tb_rechnungen[[#This Row],[Re-Datum]]&gt;0,MONTH(tb_rechnungen[[#This Row],[Re-Datum]]),"")</f>
        <v/>
      </c>
      <c r="P407" s="13">
        <f>IF(tb_rechnungen[[#This Row],[Re-Datum]]&gt;0,YEAR(tb_rechnungen[[#This Row],[Re-Datum]]),"")</f>
        <v/>
      </c>
      <c r="Q407" s="19">
        <f>IF(tb_rechnungen[[#This Row],[Brutto]]&lt;&gt;0,tb_rechnungen[[#This Row],[Brutto]]-tb_rechnungen[[#This Row],[Netto]],"")</f>
        <v/>
      </c>
      <c r="R407" s="37">
        <f>IF(tb_rechnungen[[#This Row],[Netto]]&lt;&gt;0,ROUND(tb_rechnungen[[#This Row],[Steuer]]/tb_rechnungen[[#This Row],[Netto]],2),"")</f>
        <v/>
      </c>
    </row>
    <row r="408">
      <c r="A408" s="26" t="n">
        <v>46092</v>
      </c>
      <c r="B408" s="27" t="inlineStr">
        <is>
          <t>Telekom</t>
        </is>
      </c>
      <c r="C408" s="28" t="inlineStr">
        <is>
          <t>357 17868000551</t>
        </is>
      </c>
      <c r="D408" s="28" t="inlineStr">
        <is>
          <t>K</t>
        </is>
      </c>
      <c r="E408" s="27" t="inlineStr">
        <is>
          <t>Schulze Mobil</t>
        </is>
      </c>
      <c r="F408" s="29" t="n">
        <v>12.89</v>
      </c>
      <c r="G408" s="29" t="n">
        <v>15.34</v>
      </c>
      <c r="H408" s="30" t="inlineStr">
        <is>
          <t>EX</t>
        </is>
      </c>
      <c r="I408" s="30" t="inlineStr">
        <is>
          <t>Z</t>
        </is>
      </c>
      <c r="J408" s="30" t="n"/>
      <c r="K408" s="50" t="n">
        <v>46104</v>
      </c>
      <c r="L408" s="50" t="n"/>
      <c r="M408" s="67" t="n"/>
      <c r="N408" s="30" t="n"/>
      <c r="O408" s="12">
        <f>IF(tb_rechnungen[[#This Row],[Re-Datum]]&gt;0,MONTH(tb_rechnungen[[#This Row],[Re-Datum]]),"")</f>
        <v/>
      </c>
      <c r="P408" s="13">
        <f>IF(tb_rechnungen[[#This Row],[Re-Datum]]&gt;0,YEAR(tb_rechnungen[[#This Row],[Re-Datum]]),"")</f>
        <v/>
      </c>
      <c r="Q408" s="19">
        <f>IF(tb_rechnungen[[#This Row],[Brutto]]&lt;&gt;0,tb_rechnungen[[#This Row],[Brutto]]-tb_rechnungen[[#This Row],[Netto]],"")</f>
        <v/>
      </c>
      <c r="R408" s="37">
        <f>IF(tb_rechnungen[[#This Row],[Netto]]&lt;&gt;0,ROUND(tb_rechnungen[[#This Row],[Steuer]]/tb_rechnungen[[#This Row],[Netto]],2),"")</f>
        <v/>
      </c>
    </row>
    <row r="409">
      <c r="A409" s="26" t="n">
        <v>46092</v>
      </c>
      <c r="B409" s="27" t="inlineStr">
        <is>
          <t>TDSynnex Germany GmbH</t>
        </is>
      </c>
      <c r="C409" s="28" t="inlineStr">
        <is>
          <t>R8279861122</t>
        </is>
      </c>
      <c r="D409" s="28" t="inlineStr">
        <is>
          <t>E</t>
        </is>
      </c>
      <c r="E409" s="27" t="inlineStr">
        <is>
          <t>2 x Space Mouse compact</t>
        </is>
      </c>
      <c r="F409" s="29" t="n">
        <v>296.96</v>
      </c>
      <c r="G409" s="29" t="n">
        <v>353.38</v>
      </c>
      <c r="H409" s="30" t="inlineStr">
        <is>
          <t>UX</t>
        </is>
      </c>
      <c r="I409" s="30" t="inlineStr">
        <is>
          <t>Z</t>
        </is>
      </c>
      <c r="J409" s="30" t="n"/>
      <c r="K409" s="50" t="n">
        <v>46106</v>
      </c>
      <c r="L409" s="50" t="n"/>
      <c r="M409" s="67" t="inlineStr">
        <is>
          <t>DE82502109000214150042</t>
        </is>
      </c>
      <c r="N409" s="30" t="n"/>
      <c r="O409" s="12">
        <f>IF(tb_rechnungen[[#This Row],[Re-Datum]]&gt;0,MONTH(tb_rechnungen[[#This Row],[Re-Datum]]),"")</f>
        <v/>
      </c>
      <c r="P409" s="13">
        <f>IF(tb_rechnungen[[#This Row],[Re-Datum]]&gt;0,YEAR(tb_rechnungen[[#This Row],[Re-Datum]]),"")</f>
        <v/>
      </c>
      <c r="Q409" s="19">
        <f>IF(tb_rechnungen[[#This Row],[Brutto]]&lt;&gt;0,tb_rechnungen[[#This Row],[Brutto]]-tb_rechnungen[[#This Row],[Netto]],"")</f>
        <v/>
      </c>
      <c r="R409" s="37">
        <f>IF(tb_rechnungen[[#This Row],[Netto]]&lt;&gt;0,ROUND(tb_rechnungen[[#This Row],[Steuer]]/tb_rechnungen[[#This Row],[Netto]],2),"")</f>
        <v/>
      </c>
    </row>
    <row r="410">
      <c r="A410" s="26" t="n">
        <v>46092</v>
      </c>
      <c r="B410" s="27" t="inlineStr">
        <is>
          <t>Sage</t>
        </is>
      </c>
      <c r="C410" s="28" t="inlineStr">
        <is>
          <t>2026-1125731</t>
        </is>
      </c>
      <c r="D410" s="28" t="inlineStr">
        <is>
          <t>K</t>
        </is>
      </c>
      <c r="E410" s="27" t="inlineStr">
        <is>
          <t>Februar</t>
        </is>
      </c>
      <c r="F410" s="29" t="n">
        <v>15.5</v>
      </c>
      <c r="G410" s="29" t="n">
        <v>18.45</v>
      </c>
      <c r="H410" s="30" t="inlineStr">
        <is>
          <t>EX</t>
        </is>
      </c>
      <c r="I410" s="30" t="inlineStr">
        <is>
          <t>Z</t>
        </is>
      </c>
      <c r="J410" s="30" t="n"/>
      <c r="K410" s="50" t="n">
        <v>46123</v>
      </c>
      <c r="L410" s="50" t="n"/>
      <c r="M410" s="67" t="n"/>
      <c r="N410" s="30" t="n"/>
      <c r="O410" s="12">
        <f>IF(tb_rechnungen[[#This Row],[Re-Datum]]&gt;0,MONTH(tb_rechnungen[[#This Row],[Re-Datum]]),"")</f>
        <v/>
      </c>
      <c r="P410" s="13">
        <f>IF(tb_rechnungen[[#This Row],[Re-Datum]]&gt;0,YEAR(tb_rechnungen[[#This Row],[Re-Datum]]),"")</f>
        <v/>
      </c>
      <c r="Q410" s="19">
        <f>IF(tb_rechnungen[[#This Row],[Brutto]]&lt;&gt;0,tb_rechnungen[[#This Row],[Brutto]]-tb_rechnungen[[#This Row],[Netto]],"")</f>
        <v/>
      </c>
      <c r="R410" s="37">
        <f>IF(tb_rechnungen[[#This Row],[Netto]]&lt;&gt;0,ROUND(tb_rechnungen[[#This Row],[Steuer]]/tb_rechnungen[[#This Row],[Netto]],2),"")</f>
        <v/>
      </c>
    </row>
    <row r="411">
      <c r="A411" s="26" t="n">
        <v>46094</v>
      </c>
      <c r="B411" s="27" t="inlineStr">
        <is>
          <t>Anthropic</t>
        </is>
      </c>
      <c r="C411" s="28" t="inlineStr">
        <is>
          <t>OH4P0JW-0006</t>
        </is>
      </c>
      <c r="D411" s="28" t="inlineStr">
        <is>
          <t>K</t>
        </is>
      </c>
      <c r="E411" s="27" t="inlineStr">
        <is>
          <t>Pro-Plan bis 13.04.2026</t>
        </is>
      </c>
      <c r="F411" s="29" t="n">
        <v>18</v>
      </c>
      <c r="G411" s="29" t="n">
        <v>18</v>
      </c>
      <c r="H411" s="30" t="inlineStr">
        <is>
          <t>EX</t>
        </is>
      </c>
      <c r="I411" s="30" t="inlineStr">
        <is>
          <t>Z</t>
        </is>
      </c>
      <c r="J411" s="30" t="n"/>
      <c r="K411" s="50" t="n">
        <v>46094</v>
      </c>
      <c r="L411" s="50" t="n"/>
      <c r="M411" s="67" t="n"/>
      <c r="N411" s="30" t="inlineStr">
        <is>
          <t>FY</t>
        </is>
      </c>
      <c r="O411" s="12">
        <f>IF(tb_rechnungen[[#This Row],[Re-Datum]]&gt;0,MONTH(tb_rechnungen[[#This Row],[Re-Datum]]),"")</f>
        <v/>
      </c>
      <c r="P411" s="13">
        <f>IF(tb_rechnungen[[#This Row],[Re-Datum]]&gt;0,YEAR(tb_rechnungen[[#This Row],[Re-Datum]]),"")</f>
        <v/>
      </c>
      <c r="Q411" s="19">
        <f>IF(tb_rechnungen[[#This Row],[Brutto]]&lt;&gt;0,tb_rechnungen[[#This Row],[Brutto]]-tb_rechnungen[[#This Row],[Netto]],"")</f>
        <v/>
      </c>
      <c r="R411" s="37">
        <f>IF(tb_rechnungen[[#This Row],[Netto]]&lt;&gt;0,ROUND(tb_rechnungen[[#This Row],[Steuer]]/tb_rechnungen[[#This Row],[Netto]],2),"")</f>
        <v/>
      </c>
    </row>
    <row r="412">
      <c r="A412" s="26" t="n">
        <v>46094</v>
      </c>
      <c r="B412" s="27" t="inlineStr">
        <is>
          <t>Blau</t>
        </is>
      </c>
      <c r="C412" s="28" t="inlineStr">
        <is>
          <t>1509837427/08</t>
        </is>
      </c>
      <c r="D412" s="28" t="inlineStr">
        <is>
          <t>K</t>
        </is>
      </c>
      <c r="E412" s="27" t="inlineStr">
        <is>
          <t>März</t>
        </is>
      </c>
      <c r="F412" s="29" t="n">
        <v>13.44</v>
      </c>
      <c r="G412" s="29" t="n">
        <v>15.99</v>
      </c>
      <c r="H412" s="30" t="inlineStr">
        <is>
          <t>EX</t>
        </is>
      </c>
      <c r="I412" s="30" t="inlineStr">
        <is>
          <t>Z</t>
        </is>
      </c>
      <c r="J412" s="30" t="n"/>
      <c r="K412" s="50" t="n">
        <v>46101</v>
      </c>
      <c r="L412" s="50" t="n"/>
      <c r="M412" s="67" t="n"/>
      <c r="N412" s="30" t="n"/>
      <c r="O412" s="12">
        <f>IF(tb_rechnungen[[#This Row],[Re-Datum]]&gt;0,MONTH(tb_rechnungen[[#This Row],[Re-Datum]]),"")</f>
        <v/>
      </c>
      <c r="P412" s="13">
        <f>IF(tb_rechnungen[[#This Row],[Re-Datum]]&gt;0,YEAR(tb_rechnungen[[#This Row],[Re-Datum]]),"")</f>
        <v/>
      </c>
      <c r="Q412" s="19">
        <f>IF(tb_rechnungen[[#This Row],[Brutto]]&lt;&gt;0,tb_rechnungen[[#This Row],[Brutto]]-tb_rechnungen[[#This Row],[Netto]],"")</f>
        <v/>
      </c>
      <c r="R412" s="37">
        <f>IF(tb_rechnungen[[#This Row],[Netto]]&lt;&gt;0,ROUND(tb_rechnungen[[#This Row],[Steuer]]/tb_rechnungen[[#This Row],[Netto]],2),"")</f>
        <v/>
      </c>
    </row>
    <row r="413">
      <c r="A413" s="26" t="n">
        <v>46096</v>
      </c>
      <c r="B413" s="27" t="inlineStr">
        <is>
          <t>DKV</t>
        </is>
      </c>
      <c r="C413" s="28" t="inlineStr">
        <is>
          <t>26/650457828/001</t>
        </is>
      </c>
      <c r="D413" s="28" t="inlineStr">
        <is>
          <t>K</t>
        </is>
      </c>
      <c r="E413" s="27" t="n"/>
      <c r="F413" s="29" t="n">
        <v>115.98</v>
      </c>
      <c r="G413" s="29" t="n">
        <v>138.02</v>
      </c>
      <c r="H413" s="30" t="inlineStr">
        <is>
          <t>EX</t>
        </is>
      </c>
      <c r="I413" s="30" t="inlineStr">
        <is>
          <t>Z</t>
        </is>
      </c>
      <c r="J413" s="30" t="n"/>
      <c r="K413" s="50" t="n">
        <v>46106</v>
      </c>
      <c r="L413" s="50" t="n"/>
      <c r="M413" s="67" t="n"/>
      <c r="N413" s="30" t="n"/>
      <c r="O413" s="12">
        <f>IF(tb_rechnungen[[#This Row],[Re-Datum]]&gt;0,MONTH(tb_rechnungen[[#This Row],[Re-Datum]]),"")</f>
        <v/>
      </c>
      <c r="P413" s="13">
        <f>IF(tb_rechnungen[[#This Row],[Re-Datum]]&gt;0,YEAR(tb_rechnungen[[#This Row],[Re-Datum]]),"")</f>
        <v/>
      </c>
      <c r="Q413" s="19">
        <f>IF(tb_rechnungen[[#This Row],[Brutto]]&lt;&gt;0,tb_rechnungen[[#This Row],[Brutto]]-tb_rechnungen[[#This Row],[Netto]],"")</f>
        <v/>
      </c>
      <c r="R413" s="37">
        <f>IF(tb_rechnungen[[#This Row],[Netto]]&lt;&gt;0,ROUND(tb_rechnungen[[#This Row],[Steuer]]/tb_rechnungen[[#This Row],[Netto]],2),"")</f>
        <v/>
      </c>
    </row>
    <row r="414">
      <c r="A414" s="26" t="n">
        <v>46097</v>
      </c>
      <c r="B414" s="27" t="inlineStr">
        <is>
          <t>Greiner</t>
        </is>
      </c>
      <c r="C414" s="28" t="inlineStr">
        <is>
          <t>GM-8446</t>
        </is>
      </c>
      <c r="D414" s="28" t="inlineStr">
        <is>
          <t>K</t>
        </is>
      </c>
      <c r="E414" s="27" t="inlineStr">
        <is>
          <t>Januar</t>
        </is>
      </c>
      <c r="F414" s="29" t="n">
        <v>180</v>
      </c>
      <c r="G414" s="29" t="n">
        <v>214.2</v>
      </c>
      <c r="H414" s="30" t="inlineStr">
        <is>
          <t>UX</t>
        </is>
      </c>
      <c r="I414" s="30" t="inlineStr">
        <is>
          <t>Z</t>
        </is>
      </c>
      <c r="J414" s="30" t="n"/>
      <c r="K414" s="50" t="n">
        <v>46104</v>
      </c>
      <c r="L414" s="50" t="n"/>
      <c r="M414" s="67" t="inlineStr">
        <is>
          <t>DE72701900000002829800</t>
        </is>
      </c>
      <c r="N414" s="30" t="n"/>
      <c r="O414" s="12">
        <f>IF(tb_rechnungen[[#This Row],[Re-Datum]]&gt;0,MONTH(tb_rechnungen[[#This Row],[Re-Datum]]),"")</f>
        <v/>
      </c>
      <c r="P414" s="13">
        <f>IF(tb_rechnungen[[#This Row],[Re-Datum]]&gt;0,YEAR(tb_rechnungen[[#This Row],[Re-Datum]]),"")</f>
        <v/>
      </c>
      <c r="Q414" s="19">
        <f>IF(tb_rechnungen[[#This Row],[Brutto]]&lt;&gt;0,tb_rechnungen[[#This Row],[Brutto]]-tb_rechnungen[[#This Row],[Netto]],"")</f>
        <v/>
      </c>
      <c r="R414" s="37">
        <f>IF(tb_rechnungen[[#This Row],[Netto]]&lt;&gt;0,ROUND(tb_rechnungen[[#This Row],[Steuer]]/tb_rechnungen[[#This Row],[Netto]],2),"")</f>
        <v/>
      </c>
    </row>
    <row r="415">
      <c r="A415" s="26" t="n">
        <v>46097</v>
      </c>
      <c r="B415" s="27" t="inlineStr">
        <is>
          <t>Telekom</t>
        </is>
      </c>
      <c r="C415" s="28" t="inlineStr">
        <is>
          <t>725 208 6498</t>
        </is>
      </c>
      <c r="D415" s="28" t="inlineStr">
        <is>
          <t>K</t>
        </is>
      </c>
      <c r="E415" s="27" t="inlineStr">
        <is>
          <t>Schulze März</t>
        </is>
      </c>
      <c r="F415" s="29" t="n">
        <v>31.29</v>
      </c>
      <c r="G415" s="29" t="n">
        <v>37.24</v>
      </c>
      <c r="H415" s="30" t="inlineStr">
        <is>
          <t>EX</t>
        </is>
      </c>
      <c r="I415" s="30" t="inlineStr">
        <is>
          <t>Z</t>
        </is>
      </c>
      <c r="J415" s="30" t="n"/>
      <c r="K415" s="50" t="n">
        <v>46106</v>
      </c>
      <c r="L415" s="50" t="n"/>
      <c r="M415" s="67" t="n"/>
      <c r="N415" s="30" t="n"/>
      <c r="O415" s="12">
        <f>IF(tb_rechnungen[[#This Row],[Re-Datum]]&gt;0,MONTH(tb_rechnungen[[#This Row],[Re-Datum]]),"")</f>
        <v/>
      </c>
      <c r="P415" s="13">
        <f>IF(tb_rechnungen[[#This Row],[Re-Datum]]&gt;0,YEAR(tb_rechnungen[[#This Row],[Re-Datum]]),"")</f>
        <v/>
      </c>
      <c r="Q415" s="19">
        <f>IF(tb_rechnungen[[#This Row],[Brutto]]&lt;&gt;0,tb_rechnungen[[#This Row],[Brutto]]-tb_rechnungen[[#This Row],[Netto]],"")</f>
        <v/>
      </c>
      <c r="R415" s="37">
        <f>IF(tb_rechnungen[[#This Row],[Netto]]&lt;&gt;0,ROUND(tb_rechnungen[[#This Row],[Steuer]]/tb_rechnungen[[#This Row],[Netto]],2),"")</f>
        <v/>
      </c>
    </row>
    <row r="416">
      <c r="A416" s="26" t="n">
        <v>46098</v>
      </c>
      <c r="B416" s="27" t="inlineStr">
        <is>
          <t>Kassen24</t>
        </is>
      </c>
      <c r="C416" s="28" t="inlineStr">
        <is>
          <t>Re4696-2026</t>
        </is>
      </c>
      <c r="D416" s="28" t="inlineStr">
        <is>
          <t>E</t>
        </is>
      </c>
      <c r="E416" s="27" t="inlineStr">
        <is>
          <t>2 x Kassenschubladen</t>
        </is>
      </c>
      <c r="F416" s="29" t="n">
        <v>164.99</v>
      </c>
      <c r="G416" s="29" t="n">
        <v>196.34</v>
      </c>
      <c r="H416" s="30" t="inlineStr">
        <is>
          <t>EX</t>
        </is>
      </c>
      <c r="I416" s="30" t="inlineStr">
        <is>
          <t>Z</t>
        </is>
      </c>
      <c r="J416" s="30" t="n"/>
      <c r="K416" s="50" t="n">
        <v>46099</v>
      </c>
      <c r="L416" s="50" t="n"/>
      <c r="M416" s="67" t="n"/>
      <c r="N416" s="30" t="n"/>
      <c r="O416" s="12">
        <f>IF(tb_rechnungen[[#This Row],[Re-Datum]]&gt;0,MONTH(tb_rechnungen[[#This Row],[Re-Datum]]),"")</f>
        <v/>
      </c>
      <c r="P416" s="13">
        <f>IF(tb_rechnungen[[#This Row],[Re-Datum]]&gt;0,YEAR(tb_rechnungen[[#This Row],[Re-Datum]]),"")</f>
        <v/>
      </c>
      <c r="Q416" s="19">
        <f>IF(tb_rechnungen[[#This Row],[Brutto]]&lt;&gt;0,tb_rechnungen[[#This Row],[Brutto]]-tb_rechnungen[[#This Row],[Netto]],"")</f>
        <v/>
      </c>
      <c r="R416" s="37">
        <f>IF(tb_rechnungen[[#This Row],[Netto]]&lt;&gt;0,ROUND(tb_rechnungen[[#This Row],[Steuer]]/tb_rechnungen[[#This Row],[Netto]],2),"")</f>
        <v/>
      </c>
    </row>
    <row r="417">
      <c r="A417" s="26" t="n">
        <v>46112</v>
      </c>
      <c r="B417" s="27" t="inlineStr">
        <is>
          <t>Google Cloud EMEA Limited</t>
        </is>
      </c>
      <c r="C417" s="28" t="inlineStr">
        <is>
          <t>5540882397</t>
        </is>
      </c>
      <c r="D417" s="28" t="n"/>
      <c r="E417" s="27" t="n"/>
      <c r="F417" s="29" t="n">
        <v>0.08</v>
      </c>
      <c r="G417" s="29" t="n">
        <v>0.1</v>
      </c>
      <c r="H417" s="30" t="n"/>
      <c r="I417" s="30" t="n"/>
      <c r="J417" s="30" t="n"/>
      <c r="K417" s="50" t="n"/>
      <c r="L417" s="50" t="n"/>
      <c r="M417" s="67" t="n"/>
      <c r="N417" s="30" t="n"/>
      <c r="O417" s="12">
        <f>IF(tb_rechnungen[[#This Row],[Re-Datum]]&gt;0,MONTH(tb_rechnungen[[#This Row],[Re-Datum]]),"")</f>
        <v/>
      </c>
      <c r="P417" s="13">
        <f>IF(tb_rechnungen[[#This Row],[Re-Datum]]&gt;0,YEAR(tb_rechnungen[[#This Row],[Re-Datum]]),"")</f>
        <v/>
      </c>
      <c r="Q417" s="19">
        <f>IF(tb_rechnungen[[#This Row],[Brutto]]&lt;&gt;0,tb_rechnungen[[#This Row],[Brutto]]-tb_rechnungen[[#This Row],[Netto]],"")</f>
        <v/>
      </c>
      <c r="R417" s="37">
        <f>IF(tb_rechnungen[[#This Row],[Netto]]&lt;&gt;0,ROUND(tb_rechnungen[[#This Row],[Steuer]]/tb_rechnungen[[#This Row],[Netto]],2),"")</f>
        <v/>
      </c>
    </row>
    <row r="418">
      <c r="A418" s="26" t="n">
        <v>46112</v>
      </c>
      <c r="B418" s="27" t="inlineStr">
        <is>
          <t>ALSO Deutschland GmbH</t>
        </is>
      </c>
      <c r="C418" s="28" t="inlineStr">
        <is>
          <t>977021040</t>
        </is>
      </c>
      <c r="D418" s="28" t="n"/>
      <c r="E418" s="27" t="n"/>
      <c r="F418" s="29" t="n">
        <v>103.83</v>
      </c>
      <c r="G418" s="29" t="n">
        <v>123.56</v>
      </c>
      <c r="H418" s="30" t="n"/>
      <c r="I418" s="30" t="n"/>
      <c r="J418" s="30" t="n"/>
      <c r="K418" s="50" t="n">
        <v>46119</v>
      </c>
      <c r="L418" s="50" t="n"/>
      <c r="M418" s="67" t="n"/>
      <c r="N418" s="30" t="n"/>
      <c r="O418" s="12">
        <f>IF(tb_rechnungen[[#This Row],[Re-Datum]]&gt;0,MONTH(tb_rechnungen[[#This Row],[Re-Datum]]),"")</f>
        <v/>
      </c>
      <c r="P418" s="13">
        <f>IF(tb_rechnungen[[#This Row],[Re-Datum]]&gt;0,YEAR(tb_rechnungen[[#This Row],[Re-Datum]]),"")</f>
        <v/>
      </c>
      <c r="Q418" s="19">
        <f>IF(tb_rechnungen[[#This Row],[Brutto]]&lt;&gt;0,tb_rechnungen[[#This Row],[Brutto]]-tb_rechnungen[[#This Row],[Netto]],"")</f>
        <v/>
      </c>
      <c r="R418" s="37">
        <f>IF(tb_rechnungen[[#This Row],[Netto]]&lt;&gt;0,ROUND(tb_rechnungen[[#This Row],[Steuer]]/tb_rechnungen[[#This Row],[Netto]],2),"")</f>
        <v/>
      </c>
    </row>
    <row r="419">
      <c r="A419" s="26" t="n">
        <v>46112</v>
      </c>
      <c r="B419" s="27" t="inlineStr">
        <is>
          <t>ALSO Deutschland GmbH</t>
        </is>
      </c>
      <c r="C419" s="28" t="inlineStr">
        <is>
          <t>977021039</t>
        </is>
      </c>
      <c r="D419" s="28" t="n"/>
      <c r="E419" s="27" t="n"/>
      <c r="F419" s="29" t="n">
        <v>323.48</v>
      </c>
      <c r="G419" s="29" t="n">
        <v>384.94</v>
      </c>
      <c r="H419" s="30" t="n"/>
      <c r="I419" s="30" t="n"/>
      <c r="J419" s="30" t="n"/>
      <c r="K419" s="50" t="n">
        <v>46119</v>
      </c>
      <c r="L419" s="50" t="n"/>
      <c r="M419" s="67" t="n"/>
      <c r="N419" s="30" t="n"/>
      <c r="O419" s="12">
        <f>IF(tb_rechnungen[[#This Row],[Re-Datum]]&gt;0,MONTH(tb_rechnungen[[#This Row],[Re-Datum]]),"")</f>
        <v/>
      </c>
      <c r="P419" s="13">
        <f>IF(tb_rechnungen[[#This Row],[Re-Datum]]&gt;0,YEAR(tb_rechnungen[[#This Row],[Re-Datum]]),"")</f>
        <v/>
      </c>
      <c r="Q419" s="19">
        <f>IF(tb_rechnungen[[#This Row],[Brutto]]&lt;&gt;0,tb_rechnungen[[#This Row],[Brutto]]-tb_rechnungen[[#This Row],[Netto]],"")</f>
        <v/>
      </c>
      <c r="R419" s="37">
        <f>IF(tb_rechnungen[[#This Row],[Netto]]&lt;&gt;0,ROUND(tb_rechnungen[[#This Row],[Steuer]]/tb_rechnungen[[#This Row],[Netto]],2),"")</f>
        <v/>
      </c>
    </row>
    <row r="420">
      <c r="A420" s="26" t="n">
        <v>46112</v>
      </c>
      <c r="B420" s="27" t="inlineStr">
        <is>
          <t>ALSO Deutschland GmbH</t>
        </is>
      </c>
      <c r="C420" s="28" t="inlineStr">
        <is>
          <t>977021038</t>
        </is>
      </c>
      <c r="D420" s="28" t="n"/>
      <c r="E420" s="27" t="n"/>
      <c r="F420" s="29" t="n">
        <v>10.09</v>
      </c>
      <c r="G420" s="29" t="n">
        <v>12.01</v>
      </c>
      <c r="H420" s="30" t="n"/>
      <c r="I420" s="30" t="n"/>
      <c r="J420" s="30" t="n"/>
      <c r="K420" s="50" t="n">
        <v>46119</v>
      </c>
      <c r="L420" s="50" t="n"/>
      <c r="M420" s="67" t="n"/>
      <c r="N420" s="30" t="n"/>
      <c r="O420" s="12">
        <f>IF(tb_rechnungen[[#This Row],[Re-Datum]]&gt;0,MONTH(tb_rechnungen[[#This Row],[Re-Datum]]),"")</f>
        <v/>
      </c>
      <c r="P420" s="13">
        <f>IF(tb_rechnungen[[#This Row],[Re-Datum]]&gt;0,YEAR(tb_rechnungen[[#This Row],[Re-Datum]]),"")</f>
        <v/>
      </c>
      <c r="Q420" s="19">
        <f>IF(tb_rechnungen[[#This Row],[Brutto]]&lt;&gt;0,tb_rechnungen[[#This Row],[Brutto]]-tb_rechnungen[[#This Row],[Netto]],"")</f>
        <v/>
      </c>
      <c r="R420" s="37">
        <f>IF(tb_rechnungen[[#This Row],[Netto]]&lt;&gt;0,ROUND(tb_rechnungen[[#This Row],[Steuer]]/tb_rechnungen[[#This Row],[Netto]],2),"")</f>
        <v/>
      </c>
    </row>
    <row r="421">
      <c r="A421" s="26" t="n">
        <v>46112</v>
      </c>
      <c r="B421" s="27" t="inlineStr">
        <is>
          <t>NFON AG</t>
        </is>
      </c>
      <c r="C421" s="28" t="inlineStr">
        <is>
          <t>26-13-190542</t>
        </is>
      </c>
      <c r="D421" s="28" t="n"/>
      <c r="E421" s="27" t="n"/>
      <c r="F421" s="29" t="n">
        <v>30.4</v>
      </c>
      <c r="G421" s="29" t="n">
        <v>36.18</v>
      </c>
      <c r="H421" s="30" t="n"/>
      <c r="I421" s="30" t="n"/>
      <c r="J421" s="30" t="n"/>
      <c r="K421" s="50" t="n"/>
      <c r="L421" s="50" t="n"/>
      <c r="M421" s="67" t="n"/>
      <c r="N421" s="30" t="n"/>
      <c r="O421" s="12">
        <f>IF(tb_rechnungen[[#This Row],[Re-Datum]]&gt;0,MONTH(tb_rechnungen[[#This Row],[Re-Datum]]),"")</f>
        <v/>
      </c>
      <c r="P421" s="13">
        <f>IF(tb_rechnungen[[#This Row],[Re-Datum]]&gt;0,YEAR(tb_rechnungen[[#This Row],[Re-Datum]]),"")</f>
        <v/>
      </c>
      <c r="Q421" s="19">
        <f>IF(tb_rechnungen[[#This Row],[Brutto]]&lt;&gt;0,tb_rechnungen[[#This Row],[Brutto]]-tb_rechnungen[[#This Row],[Netto]],"")</f>
        <v/>
      </c>
      <c r="R421" s="37">
        <f>IF(tb_rechnungen[[#This Row],[Netto]]&lt;&gt;0,ROUND(tb_rechnungen[[#This Row],[Steuer]]/tb_rechnungen[[#This Row],[Netto]],2),"")</f>
        <v/>
      </c>
    </row>
    <row r="422">
      <c r="A422" s="26" t="n">
        <v>46112</v>
      </c>
      <c r="B422" s="27" t="inlineStr">
        <is>
          <t>Google Cloud EMEA Limited</t>
        </is>
      </c>
      <c r="C422" s="28" t="inlineStr">
        <is>
          <t>5540882397</t>
        </is>
      </c>
      <c r="D422" s="28" t="n"/>
      <c r="E422" s="27" t="n"/>
      <c r="F422" s="29" t="n">
        <v>0.08</v>
      </c>
      <c r="G422" s="29" t="n">
        <v>0.1</v>
      </c>
      <c r="H422" s="30" t="n"/>
      <c r="I422" s="30" t="n"/>
      <c r="J422" s="30" t="n"/>
      <c r="K422" s="50" t="n"/>
      <c r="L422" s="50" t="n"/>
      <c r="M422" s="67" t="n"/>
      <c r="N422" s="30" t="n"/>
      <c r="O422" s="12">
        <f>IF(tb_rechnungen[[#This Row],[Re-Datum]]&gt;0,MONTH(tb_rechnungen[[#This Row],[Re-Datum]]),"")</f>
        <v/>
      </c>
      <c r="P422" s="13">
        <f>IF(tb_rechnungen[[#This Row],[Re-Datum]]&gt;0,YEAR(tb_rechnungen[[#This Row],[Re-Datum]]),"")</f>
        <v/>
      </c>
      <c r="Q422" s="19">
        <f>IF(tb_rechnungen[[#This Row],[Brutto]]&lt;&gt;0,tb_rechnungen[[#This Row],[Brutto]]-tb_rechnungen[[#This Row],[Netto]],"")</f>
        <v/>
      </c>
      <c r="R422" s="37">
        <f>IF(tb_rechnungen[[#This Row],[Netto]]&lt;&gt;0,ROUND(tb_rechnungen[[#This Row],[Steuer]]/tb_rechnungen[[#This Row],[Netto]],2),"")</f>
        <v/>
      </c>
    </row>
    <row r="423">
      <c r="A423" s="26" t="n">
        <v>46112</v>
      </c>
      <c r="B423" s="27" t="inlineStr">
        <is>
          <t>ALSO Deutschland GmbH</t>
        </is>
      </c>
      <c r="C423" s="28" t="inlineStr">
        <is>
          <t>977021040</t>
        </is>
      </c>
      <c r="D423" s="28" t="n"/>
      <c r="E423" s="27" t="n"/>
      <c r="F423" s="29" t="n">
        <v>103.83</v>
      </c>
      <c r="G423" s="29" t="n">
        <v>123.56</v>
      </c>
      <c r="H423" s="30" t="n"/>
      <c r="I423" s="30" t="n"/>
      <c r="J423" s="30" t="n"/>
      <c r="K423" s="50" t="n">
        <v>46119</v>
      </c>
      <c r="L423" s="50" t="n"/>
      <c r="M423" s="67" t="n"/>
      <c r="N423" s="30" t="n"/>
      <c r="O423" s="12">
        <f>IF(tb_rechnungen[[#This Row],[Re-Datum]]&gt;0,MONTH(tb_rechnungen[[#This Row],[Re-Datum]]),"")</f>
        <v/>
      </c>
      <c r="P423" s="13">
        <f>IF(tb_rechnungen[[#This Row],[Re-Datum]]&gt;0,YEAR(tb_rechnungen[[#This Row],[Re-Datum]]),"")</f>
        <v/>
      </c>
      <c r="Q423" s="19">
        <f>IF(tb_rechnungen[[#This Row],[Brutto]]&lt;&gt;0,tb_rechnungen[[#This Row],[Brutto]]-tb_rechnungen[[#This Row],[Netto]],"")</f>
        <v/>
      </c>
      <c r="R423" s="37">
        <f>IF(tb_rechnungen[[#This Row],[Netto]]&lt;&gt;0,ROUND(tb_rechnungen[[#This Row],[Steuer]]/tb_rechnungen[[#This Row],[Netto]],2),"")</f>
        <v/>
      </c>
    </row>
    <row r="424">
      <c r="A424" s="26" t="n">
        <v>46112</v>
      </c>
      <c r="B424" s="27" t="inlineStr">
        <is>
          <t>ALSO Deutschland GmbH</t>
        </is>
      </c>
      <c r="C424" s="28" t="inlineStr">
        <is>
          <t>977021039</t>
        </is>
      </c>
      <c r="D424" s="28" t="n"/>
      <c r="E424" s="27" t="n"/>
      <c r="F424" s="29" t="n">
        <v>323.48</v>
      </c>
      <c r="G424" s="29" t="n">
        <v>384.94</v>
      </c>
      <c r="H424" s="30" t="n"/>
      <c r="I424" s="30" t="n"/>
      <c r="J424" s="30" t="n"/>
      <c r="K424" s="50" t="n">
        <v>46119</v>
      </c>
      <c r="L424" s="50" t="n"/>
      <c r="M424" s="67" t="n"/>
      <c r="N424" s="30" t="n"/>
      <c r="O424" s="12">
        <f>IF(tb_rechnungen[[#This Row],[Re-Datum]]&gt;0,MONTH(tb_rechnungen[[#This Row],[Re-Datum]]),"")</f>
        <v/>
      </c>
      <c r="P424" s="13">
        <f>IF(tb_rechnungen[[#This Row],[Re-Datum]]&gt;0,YEAR(tb_rechnungen[[#This Row],[Re-Datum]]),"")</f>
        <v/>
      </c>
      <c r="Q424" s="19">
        <f>IF(tb_rechnungen[[#This Row],[Brutto]]&lt;&gt;0,tb_rechnungen[[#This Row],[Brutto]]-tb_rechnungen[[#This Row],[Netto]],"")</f>
        <v/>
      </c>
      <c r="R424" s="37">
        <f>IF(tb_rechnungen[[#This Row],[Netto]]&lt;&gt;0,ROUND(tb_rechnungen[[#This Row],[Steuer]]/tb_rechnungen[[#This Row],[Netto]],2),"")</f>
        <v/>
      </c>
    </row>
    <row r="425">
      <c r="A425" s="26" t="n">
        <v>46112</v>
      </c>
      <c r="B425" s="27" t="inlineStr">
        <is>
          <t>ALSO Deutschland GmbH</t>
        </is>
      </c>
      <c r="C425" s="28" t="inlineStr">
        <is>
          <t>977021038</t>
        </is>
      </c>
      <c r="D425" s="28" t="n"/>
      <c r="E425" s="27" t="n"/>
      <c r="F425" s="29" t="n">
        <v>10.09</v>
      </c>
      <c r="G425" s="29" t="n">
        <v>12.01</v>
      </c>
      <c r="H425" s="30" t="n"/>
      <c r="I425" s="30" t="n"/>
      <c r="J425" s="30" t="n"/>
      <c r="K425" s="50" t="n"/>
      <c r="L425" s="50" t="n"/>
      <c r="M425" s="67" t="n"/>
      <c r="N425" s="30" t="n"/>
      <c r="O425" s="12">
        <f>IF(tb_rechnungen[[#This Row],[Re-Datum]]&gt;0,MONTH(tb_rechnungen[[#This Row],[Re-Datum]]),"")</f>
        <v/>
      </c>
      <c r="P425" s="13">
        <f>IF(tb_rechnungen[[#This Row],[Re-Datum]]&gt;0,YEAR(tb_rechnungen[[#This Row],[Re-Datum]]),"")</f>
        <v/>
      </c>
      <c r="Q425" s="19">
        <f>IF(tb_rechnungen[[#This Row],[Brutto]]&lt;&gt;0,tb_rechnungen[[#This Row],[Brutto]]-tb_rechnungen[[#This Row],[Netto]],"")</f>
        <v/>
      </c>
      <c r="R425" s="37">
        <f>IF(tb_rechnungen[[#This Row],[Netto]]&lt;&gt;0,ROUND(tb_rechnungen[[#This Row],[Steuer]]/tb_rechnungen[[#This Row],[Netto]],2),"")</f>
        <v/>
      </c>
    </row>
    <row r="426">
      <c r="A426" s="26" t="n">
        <v>46112</v>
      </c>
      <c r="B426" s="27" t="inlineStr">
        <is>
          <t>NFON AG</t>
        </is>
      </c>
      <c r="C426" s="28" t="inlineStr">
        <is>
          <t>26-13-190542</t>
        </is>
      </c>
      <c r="D426" s="28" t="n"/>
      <c r="E426" s="27" t="n"/>
      <c r="F426" s="29" t="n">
        <v>30.4</v>
      </c>
      <c r="G426" s="29" t="n">
        <v>36.18</v>
      </c>
      <c r="H426" s="30" t="n"/>
      <c r="I426" s="30" t="n"/>
      <c r="J426" s="30" t="n"/>
      <c r="K426" s="50" t="n"/>
      <c r="L426" s="50" t="n"/>
      <c r="M426" s="67" t="n"/>
      <c r="N426" s="30" t="n"/>
      <c r="O426" s="12">
        <f>IF(tb_rechnungen[[#This Row],[Re-Datum]]&gt;0,MONTH(tb_rechnungen[[#This Row],[Re-Datum]]),"")</f>
        <v/>
      </c>
      <c r="P426" s="13">
        <f>IF(tb_rechnungen[[#This Row],[Re-Datum]]&gt;0,YEAR(tb_rechnungen[[#This Row],[Re-Datum]]),"")</f>
        <v/>
      </c>
      <c r="Q426" s="19">
        <f>IF(tb_rechnungen[[#This Row],[Brutto]]&lt;&gt;0,tb_rechnungen[[#This Row],[Brutto]]-tb_rechnungen[[#This Row],[Netto]],"")</f>
        <v/>
      </c>
      <c r="R426" s="37">
        <f>IF(tb_rechnungen[[#This Row],[Netto]]&lt;&gt;0,ROUND(tb_rechnungen[[#This Row],[Steuer]]/tb_rechnungen[[#This Row],[Netto]],2),"")</f>
        <v/>
      </c>
    </row>
    <row r="427">
      <c r="A427" s="26" t="n">
        <v>46112</v>
      </c>
      <c r="B427" s="27" t="inlineStr">
        <is>
          <t>NFON AG</t>
        </is>
      </c>
      <c r="C427" s="28" t="inlineStr">
        <is>
          <t>11678895</t>
        </is>
      </c>
      <c r="D427" s="28" t="n"/>
      <c r="E427" s="27" t="n"/>
      <c r="F427" s="29" t="n">
        <v>0</v>
      </c>
      <c r="G427" s="29" t="n">
        <v>0</v>
      </c>
      <c r="H427" s="30" t="n"/>
      <c r="I427" s="30" t="n"/>
      <c r="J427" s="30" t="n"/>
      <c r="K427" s="50" t="n"/>
      <c r="L427" s="50" t="n"/>
      <c r="M427" s="67" t="n"/>
      <c r="N427" s="30" t="n"/>
      <c r="O427" s="12">
        <f>IF(tb_rechnungen[[#This Row],[Re-Datum]]&gt;0,MONTH(tb_rechnungen[[#This Row],[Re-Datum]]),"")</f>
        <v/>
      </c>
      <c r="P427" s="13">
        <f>IF(tb_rechnungen[[#This Row],[Re-Datum]]&gt;0,YEAR(tb_rechnungen[[#This Row],[Re-Datum]]),"")</f>
        <v/>
      </c>
      <c r="Q427" s="19">
        <f>IF(tb_rechnungen[[#This Row],[Brutto]]&lt;&gt;0,tb_rechnungen[[#This Row],[Brutto]]-tb_rechnungen[[#This Row],[Netto]],"")</f>
        <v/>
      </c>
      <c r="R427" s="37">
        <f>IF(tb_rechnungen[[#This Row],[Netto]]&lt;&gt;0,ROUND(tb_rechnungen[[#This Row],[Steuer]]/tb_rechnungen[[#This Row],[Netto]],2),"")</f>
        <v/>
      </c>
    </row>
    <row r="428">
      <c r="A428" s="26" t="n">
        <v>46113</v>
      </c>
      <c r="B428" s="27" t="inlineStr">
        <is>
          <t>VOLKSWAGEN LEASING GMBH</t>
        </is>
      </c>
      <c r="C428" s="28" t="inlineStr">
        <is>
          <t>10264391439</t>
        </is>
      </c>
      <c r="D428" s="28" t="n"/>
      <c r="E428" s="27" t="n"/>
      <c r="F428" s="29" t="n">
        <v>37.43</v>
      </c>
      <c r="G428" s="29" t="n">
        <v>44.54</v>
      </c>
      <c r="H428" s="30" t="n"/>
      <c r="I428" s="30" t="n"/>
      <c r="J428" s="30" t="n"/>
      <c r="K428" s="50" t="n"/>
      <c r="L428" s="50" t="n"/>
      <c r="M428" s="67" t="n"/>
      <c r="N428" s="30" t="n"/>
      <c r="O428" s="12">
        <f>IF(tb_rechnungen[[#This Row],[Re-Datum]]&gt;0,MONTH(tb_rechnungen[[#This Row],[Re-Datum]]),"")</f>
        <v/>
      </c>
      <c r="P428" s="13">
        <f>IF(tb_rechnungen[[#This Row],[Re-Datum]]&gt;0,YEAR(tb_rechnungen[[#This Row],[Re-Datum]]),"")</f>
        <v/>
      </c>
      <c r="Q428" s="19">
        <f>IF(tb_rechnungen[[#This Row],[Brutto]]&lt;&gt;0,tb_rechnungen[[#This Row],[Brutto]]-tb_rechnungen[[#This Row],[Netto]],"")</f>
        <v/>
      </c>
      <c r="R428" s="37">
        <f>IF(tb_rechnungen[[#This Row],[Netto]]&lt;&gt;0,ROUND(tb_rechnungen[[#This Row],[Steuer]]/tb_rechnungen[[#This Row],[Netto]],2),"")</f>
        <v/>
      </c>
    </row>
    <row r="429">
      <c r="A429" s="26" t="n">
        <v>46113</v>
      </c>
      <c r="B429" s="27" t="inlineStr">
        <is>
          <t>TD SYNNEX Germany GmbH &amp; Co. OHG</t>
        </is>
      </c>
      <c r="C429" s="28" t="inlineStr">
        <is>
          <t>R40383123</t>
        </is>
      </c>
      <c r="D429" s="28" t="n"/>
      <c r="E429" s="27" t="n"/>
      <c r="F429" s="29" t="n">
        <v>37.75</v>
      </c>
      <c r="G429" s="29" t="n">
        <v>44.92</v>
      </c>
      <c r="H429" s="30" t="n"/>
      <c r="I429" s="30" t="n"/>
      <c r="J429" s="30" t="n"/>
      <c r="K429" s="50" t="n"/>
      <c r="L429" s="50" t="n"/>
      <c r="M429" s="67" t="n"/>
      <c r="N429" s="30" t="n"/>
      <c r="O429" s="12">
        <f>IF(tb_rechnungen[[#This Row],[Re-Datum]]&gt;0,MONTH(tb_rechnungen[[#This Row],[Re-Datum]]),"")</f>
        <v/>
      </c>
      <c r="P429" s="13">
        <f>IF(tb_rechnungen[[#This Row],[Re-Datum]]&gt;0,YEAR(tb_rechnungen[[#This Row],[Re-Datum]]),"")</f>
        <v/>
      </c>
      <c r="Q429" s="19">
        <f>IF(tb_rechnungen[[#This Row],[Brutto]]&lt;&gt;0,tb_rechnungen[[#This Row],[Brutto]]-tb_rechnungen[[#This Row],[Netto]],"")</f>
        <v/>
      </c>
      <c r="R429" s="37">
        <f>IF(tb_rechnungen[[#This Row],[Netto]]&lt;&gt;0,ROUND(tb_rechnungen[[#This Row],[Steuer]]/tb_rechnungen[[#This Row],[Netto]],2),"")</f>
        <v/>
      </c>
    </row>
    <row r="430">
      <c r="A430" s="26" t="n">
        <v>46112</v>
      </c>
      <c r="B430" s="27" t="inlineStr">
        <is>
          <t>PSW GROUP GmbH &amp; Co. KG</t>
        </is>
      </c>
      <c r="C430" s="28" t="inlineStr">
        <is>
          <t>RG12610355</t>
        </is>
      </c>
      <c r="D430" s="28" t="n"/>
      <c r="E430" s="27" t="n"/>
      <c r="F430" s="29" t="n">
        <v>14.37</v>
      </c>
      <c r="G430" s="29" t="n">
        <v>17.1</v>
      </c>
      <c r="H430" s="30" t="n"/>
      <c r="I430" s="30" t="n"/>
      <c r="J430" s="30" t="n"/>
      <c r="K430" s="50" t="n">
        <v>46112</v>
      </c>
      <c r="L430" s="50" t="n"/>
      <c r="M430" s="67" t="n"/>
      <c r="N430" s="30" t="n"/>
      <c r="O430" s="12">
        <f>IF(tb_rechnungen[[#This Row],[Re-Datum]]&gt;0,MONTH(tb_rechnungen[[#This Row],[Re-Datum]]),"")</f>
        <v/>
      </c>
      <c r="P430" s="13">
        <f>IF(tb_rechnungen[[#This Row],[Re-Datum]]&gt;0,YEAR(tb_rechnungen[[#This Row],[Re-Datum]]),"")</f>
        <v/>
      </c>
      <c r="Q430" s="19">
        <f>IF(tb_rechnungen[[#This Row],[Brutto]]&lt;&gt;0,tb_rechnungen[[#This Row],[Brutto]]-tb_rechnungen[[#This Row],[Netto]],"")</f>
        <v/>
      </c>
      <c r="R430" s="37">
        <f>IF(tb_rechnungen[[#This Row],[Netto]]&lt;&gt;0,ROUND(tb_rechnungen[[#This Row],[Steuer]]/tb_rechnungen[[#This Row],[Netto]],2),"")</f>
        <v/>
      </c>
    </row>
    <row r="431">
      <c r="A431" s="26" t="n">
        <v>46111</v>
      </c>
      <c r="B431" s="27" t="inlineStr">
        <is>
          <t>Systeam Gesellschaft für Computersysteme mbH</t>
        </is>
      </c>
      <c r="C431" s="28" t="inlineStr">
        <is>
          <t>R60141437</t>
        </is>
      </c>
      <c r="D431" s="28" t="n"/>
      <c r="E431" s="27" t="n"/>
      <c r="F431" s="29" t="n">
        <v>129.65</v>
      </c>
      <c r="G431" s="29" t="n">
        <v>154.28</v>
      </c>
      <c r="H431" s="30" t="n"/>
      <c r="I431" s="30" t="n"/>
      <c r="J431" s="30" t="n"/>
      <c r="K431" s="50" t="n">
        <v>46118</v>
      </c>
      <c r="L431" s="50" t="n"/>
      <c r="M431" s="67" t="n"/>
      <c r="N431" s="30" t="n"/>
      <c r="O431" s="12">
        <f>IF(tb_rechnungen[[#This Row],[Re-Datum]]&gt;0,MONTH(tb_rechnungen[[#This Row],[Re-Datum]]),"")</f>
        <v/>
      </c>
      <c r="P431" s="13">
        <f>IF(tb_rechnungen[[#This Row],[Re-Datum]]&gt;0,YEAR(tb_rechnungen[[#This Row],[Re-Datum]]),"")</f>
        <v/>
      </c>
      <c r="Q431" s="19">
        <f>IF(tb_rechnungen[[#This Row],[Brutto]]&lt;&gt;0,tb_rechnungen[[#This Row],[Brutto]]-tb_rechnungen[[#This Row],[Netto]],"")</f>
        <v/>
      </c>
      <c r="R431" s="37">
        <f>IF(tb_rechnungen[[#This Row],[Netto]]&lt;&gt;0,ROUND(tb_rechnungen[[#This Row],[Steuer]]/tb_rechnungen[[#This Row],[Netto]],2),"")</f>
        <v/>
      </c>
    </row>
    <row r="432">
      <c r="A432" s="26" t="n">
        <v>46108</v>
      </c>
      <c r="B432" s="27" t="inlineStr">
        <is>
          <t>Anthropic, PBC</t>
        </is>
      </c>
      <c r="C432" s="28" t="inlineStr">
        <is>
          <t>JOH4P0JW-0007</t>
        </is>
      </c>
      <c r="D432" s="28" t="n"/>
      <c r="E432" s="27" t="n"/>
      <c r="F432" s="29" t="n">
        <v>5</v>
      </c>
      <c r="G432" s="29" t="n">
        <v>5</v>
      </c>
      <c r="H432" s="30" t="n"/>
      <c r="I432" s="30" t="n"/>
      <c r="J432" s="30" t="n"/>
      <c r="K432" s="50" t="n">
        <v>46108</v>
      </c>
      <c r="L432" s="50" t="n"/>
      <c r="M432" s="67" t="n"/>
      <c r="N432" s="30" t="n"/>
      <c r="O432" s="12">
        <f>IF(tb_rechnungen[[#This Row],[Re-Datum]]&gt;0,MONTH(tb_rechnungen[[#This Row],[Re-Datum]]),"")</f>
        <v/>
      </c>
      <c r="P432" s="13">
        <f>IF(tb_rechnungen[[#This Row],[Re-Datum]]&gt;0,YEAR(tb_rechnungen[[#This Row],[Re-Datum]]),"")</f>
        <v/>
      </c>
      <c r="Q432" s="19">
        <f>IF(tb_rechnungen[[#This Row],[Brutto]]&lt;&gt;0,tb_rechnungen[[#This Row],[Brutto]]-tb_rechnungen[[#This Row],[Netto]],"")</f>
        <v/>
      </c>
      <c r="R432" s="37">
        <f>IF(tb_rechnungen[[#This Row],[Netto]]&lt;&gt;0,ROUND(tb_rechnungen[[#This Row],[Steuer]]/tb_rechnungen[[#This Row],[Netto]],2),"")</f>
        <v/>
      </c>
    </row>
    <row r="433">
      <c r="A433" s="26" t="n">
        <v>46108</v>
      </c>
      <c r="B433" s="27" t="inlineStr">
        <is>
          <t>Anthropic, PBC</t>
        </is>
      </c>
      <c r="C433" s="28" t="inlineStr">
        <is>
          <t>JOH4P0JW-0008</t>
        </is>
      </c>
      <c r="D433" s="28" t="n"/>
      <c r="E433" s="27" t="n"/>
      <c r="F433" s="29" t="n">
        <v>10</v>
      </c>
      <c r="G433" s="29" t="n">
        <v>10</v>
      </c>
      <c r="H433" s="30" t="n"/>
      <c r="I433" s="30" t="n"/>
      <c r="J433" s="30" t="n"/>
      <c r="K433" s="50" t="n">
        <v>46108</v>
      </c>
      <c r="L433" s="50" t="n"/>
      <c r="M433" s="67" t="n"/>
      <c r="N433" s="30" t="n"/>
      <c r="O433" s="12">
        <f>IF(tb_rechnungen[[#This Row],[Re-Datum]]&gt;0,MONTH(tb_rechnungen[[#This Row],[Re-Datum]]),"")</f>
        <v/>
      </c>
      <c r="P433" s="13">
        <f>IF(tb_rechnungen[[#This Row],[Re-Datum]]&gt;0,YEAR(tb_rechnungen[[#This Row],[Re-Datum]]),"")</f>
        <v/>
      </c>
      <c r="Q433" s="19">
        <f>IF(tb_rechnungen[[#This Row],[Brutto]]&lt;&gt;0,tb_rechnungen[[#This Row],[Brutto]]-tb_rechnungen[[#This Row],[Netto]],"")</f>
        <v/>
      </c>
      <c r="R433" s="37">
        <f>IF(tb_rechnungen[[#This Row],[Netto]]&lt;&gt;0,ROUND(tb_rechnungen[[#This Row],[Steuer]]/tb_rechnungen[[#This Row],[Netto]],2),"")</f>
        <v/>
      </c>
    </row>
    <row r="434">
      <c r="A434" s="26" t="n">
        <v>46100</v>
      </c>
      <c r="B434" s="27" t="inlineStr">
        <is>
          <t>Telekom Deutschland GmbH</t>
        </is>
      </c>
      <c r="C434" s="28" t="inlineStr">
        <is>
          <t>725 483 8724</t>
        </is>
      </c>
      <c r="D434" s="28" t="n"/>
      <c r="E434" s="27" t="n"/>
      <c r="F434" s="29" t="n">
        <v>37.77</v>
      </c>
      <c r="G434" s="29" t="n">
        <v>44.95</v>
      </c>
      <c r="H434" s="30" t="n"/>
      <c r="I434" s="30" t="n"/>
      <c r="J434" s="30" t="n"/>
      <c r="K434" s="50" t="n">
        <v>46111</v>
      </c>
      <c r="L434" s="50" t="n"/>
      <c r="M434" s="67" t="n"/>
      <c r="N434" s="30" t="n"/>
      <c r="O434" s="12">
        <f>IF(tb_rechnungen[[#This Row],[Re-Datum]]&gt;0,MONTH(tb_rechnungen[[#This Row],[Re-Datum]]),"")</f>
        <v/>
      </c>
      <c r="P434" s="13">
        <f>IF(tb_rechnungen[[#This Row],[Re-Datum]]&gt;0,YEAR(tb_rechnungen[[#This Row],[Re-Datum]]),"")</f>
        <v/>
      </c>
      <c r="Q434" s="19">
        <f>IF(tb_rechnungen[[#This Row],[Brutto]]&lt;&gt;0,tb_rechnungen[[#This Row],[Brutto]]-tb_rechnungen[[#This Row],[Netto]],"")</f>
        <v/>
      </c>
      <c r="R434" s="37">
        <f>IF(tb_rechnungen[[#This Row],[Netto]]&lt;&gt;0,ROUND(tb_rechnungen[[#This Row],[Steuer]]/tb_rechnungen[[#This Row],[Netto]],2),"")</f>
        <v/>
      </c>
    </row>
    <row r="435">
      <c r="A435" s="26" t="n">
        <v>46107</v>
      </c>
      <c r="B435" s="27" t="inlineStr">
        <is>
          <t>Telekom Deutschland GmbH</t>
        </is>
      </c>
      <c r="C435" s="28" t="inlineStr">
        <is>
          <t>725 868 7684</t>
        </is>
      </c>
      <c r="D435" s="28" t="n"/>
      <c r="E435" s="27" t="n"/>
      <c r="F435" s="29" t="n">
        <v>39.9</v>
      </c>
      <c r="G435" s="29" t="n">
        <v>47.48</v>
      </c>
      <c r="H435" s="30" t="n"/>
      <c r="I435" s="30" t="n"/>
      <c r="J435" s="30" t="n"/>
      <c r="K435" s="50" t="n">
        <v>46120</v>
      </c>
      <c r="L435" s="50" t="n"/>
      <c r="M435" s="67" t="n"/>
      <c r="N435" s="30" t="n"/>
      <c r="O435" s="12">
        <f>IF(tb_rechnungen[[#This Row],[Re-Datum]]&gt;0,MONTH(tb_rechnungen[[#This Row],[Re-Datum]]),"")</f>
        <v/>
      </c>
      <c r="P435" s="13">
        <f>IF(tb_rechnungen[[#This Row],[Re-Datum]]&gt;0,YEAR(tb_rechnungen[[#This Row],[Re-Datum]]),"")</f>
        <v/>
      </c>
      <c r="Q435" s="19">
        <f>IF(tb_rechnungen[[#This Row],[Brutto]]&lt;&gt;0,tb_rechnungen[[#This Row],[Brutto]]-tb_rechnungen[[#This Row],[Netto]],"")</f>
        <v/>
      </c>
      <c r="R435" s="37">
        <f>IF(tb_rechnungen[[#This Row],[Netto]]&lt;&gt;0,ROUND(tb_rechnungen[[#This Row],[Steuer]]/tb_rechnungen[[#This Row],[Netto]],2),"")</f>
        <v/>
      </c>
    </row>
    <row r="436">
      <c r="A436" s="26" t="n">
        <v>46107</v>
      </c>
      <c r="B436" s="27" t="inlineStr">
        <is>
          <t>Cyberport SE</t>
        </is>
      </c>
      <c r="C436" s="28" t="inlineStr">
        <is>
          <t>R6006662035</t>
        </is>
      </c>
      <c r="D436" s="28" t="n"/>
      <c r="E436" s="27" t="n"/>
      <c r="F436" s="29" t="n">
        <v>635.28</v>
      </c>
      <c r="G436" s="29" t="n">
        <v>759.73</v>
      </c>
      <c r="H436" s="30" t="n"/>
      <c r="I436" s="30" t="n"/>
      <c r="J436" s="30" t="n"/>
      <c r="K436" s="50" t="n">
        <v>46117</v>
      </c>
      <c r="L436" s="50" t="n"/>
      <c r="M436" s="67" t="n"/>
      <c r="N436" s="30" t="n"/>
      <c r="O436" s="12">
        <f>IF(tb_rechnungen[[#This Row],[Re-Datum]]&gt;0,MONTH(tb_rechnungen[[#This Row],[Re-Datum]]),"")</f>
        <v/>
      </c>
      <c r="P436" s="13">
        <f>IF(tb_rechnungen[[#This Row],[Re-Datum]]&gt;0,YEAR(tb_rechnungen[[#This Row],[Re-Datum]]),"")</f>
        <v/>
      </c>
      <c r="Q436" s="19">
        <f>IF(tb_rechnungen[[#This Row],[Brutto]]&lt;&gt;0,tb_rechnungen[[#This Row],[Brutto]]-tb_rechnungen[[#This Row],[Netto]],"")</f>
        <v/>
      </c>
      <c r="R436" s="37">
        <f>IF(tb_rechnungen[[#This Row],[Netto]]&lt;&gt;0,ROUND(tb_rechnungen[[#This Row],[Steuer]]/tb_rechnungen[[#This Row],[Netto]],2),"")</f>
        <v/>
      </c>
    </row>
    <row r="437">
      <c r="A437" s="26" t="n"/>
      <c r="B437" s="27" t="n"/>
      <c r="C437" s="28" t="n"/>
      <c r="D437" s="28" t="n"/>
      <c r="E437" s="27" t="n"/>
      <c r="F437" s="29" t="n"/>
      <c r="G437" s="29" t="n"/>
      <c r="H437" s="30" t="n"/>
      <c r="I437" s="30" t="n"/>
      <c r="J437" s="30" t="n"/>
      <c r="K437" s="50" t="n"/>
      <c r="L437" s="50" t="n"/>
      <c r="M437" s="67" t="n"/>
      <c r="N437" s="30" t="n"/>
      <c r="O437" s="12">
        <f>IF(tb_rechnungen[[#This Row],[Re-Datum]]&gt;0,MONTH(tb_rechnungen[[#This Row],[Re-Datum]]),"")</f>
        <v/>
      </c>
      <c r="P437" s="13">
        <f>IF(tb_rechnungen[[#This Row],[Re-Datum]]&gt;0,YEAR(tb_rechnungen[[#This Row],[Re-Datum]]),"")</f>
        <v/>
      </c>
      <c r="Q437" s="19">
        <f>IF(tb_rechnungen[[#This Row],[Brutto]]&lt;&gt;0,tb_rechnungen[[#This Row],[Brutto]]-tb_rechnungen[[#This Row],[Netto]],"")</f>
        <v/>
      </c>
      <c r="R437" s="37">
        <f>IF(tb_rechnungen[[#This Row],[Netto]]&lt;&gt;0,ROUND(tb_rechnungen[[#This Row],[Steuer]]/tb_rechnungen[[#This Row],[Netto]],2),"")</f>
        <v/>
      </c>
    </row>
    <row r="438">
      <c r="A438" s="26" t="n"/>
      <c r="B438" s="27" t="n"/>
      <c r="C438" s="28" t="n"/>
      <c r="D438" s="28" t="n"/>
      <c r="E438" s="27" t="n"/>
      <c r="F438" s="29" t="n"/>
      <c r="G438" s="29" t="n"/>
      <c r="H438" s="30" t="n"/>
      <c r="I438" s="30" t="n"/>
      <c r="J438" s="30" t="n"/>
      <c r="K438" s="50" t="n"/>
      <c r="L438" s="50" t="n"/>
      <c r="M438" s="67" t="n"/>
      <c r="N438" s="30" t="n"/>
      <c r="O438" s="12">
        <f>IF(tb_rechnungen[[#This Row],[Re-Datum]]&gt;0,MONTH(tb_rechnungen[[#This Row],[Re-Datum]]),"")</f>
        <v/>
      </c>
      <c r="P438" s="13">
        <f>IF(tb_rechnungen[[#This Row],[Re-Datum]]&gt;0,YEAR(tb_rechnungen[[#This Row],[Re-Datum]]),"")</f>
        <v/>
      </c>
      <c r="Q438" s="19">
        <f>IF(tb_rechnungen[[#This Row],[Brutto]]&lt;&gt;0,tb_rechnungen[[#This Row],[Brutto]]-tb_rechnungen[[#This Row],[Netto]],"")</f>
        <v/>
      </c>
      <c r="R438" s="37">
        <f>IF(tb_rechnungen[[#This Row],[Netto]]&lt;&gt;0,ROUND(tb_rechnungen[[#This Row],[Steuer]]/tb_rechnungen[[#This Row],[Netto]],2),"")</f>
        <v/>
      </c>
    </row>
    <row r="439">
      <c r="A439" s="26" t="n"/>
      <c r="B439" s="27" t="n"/>
      <c r="C439" s="28" t="n"/>
      <c r="D439" s="28" t="n"/>
      <c r="E439" s="27" t="n"/>
      <c r="F439" s="29" t="n"/>
      <c r="G439" s="29" t="n"/>
      <c r="H439" s="30" t="n"/>
      <c r="I439" s="30" t="n"/>
      <c r="J439" s="30" t="n"/>
      <c r="K439" s="50" t="n"/>
      <c r="L439" s="50" t="n"/>
      <c r="M439" s="67" t="n"/>
      <c r="N439" s="30" t="n"/>
      <c r="O439" s="12">
        <f>IF(tb_rechnungen[[#This Row],[Re-Datum]]&gt;0,MONTH(tb_rechnungen[[#This Row],[Re-Datum]]),"")</f>
        <v/>
      </c>
      <c r="P439" s="13">
        <f>IF(tb_rechnungen[[#This Row],[Re-Datum]]&gt;0,YEAR(tb_rechnungen[[#This Row],[Re-Datum]]),"")</f>
        <v/>
      </c>
      <c r="Q439" s="19">
        <f>IF(tb_rechnungen[[#This Row],[Brutto]]&lt;&gt;0,tb_rechnungen[[#This Row],[Brutto]]-tb_rechnungen[[#This Row],[Netto]],"")</f>
        <v/>
      </c>
      <c r="R439" s="37">
        <f>IF(tb_rechnungen[[#This Row],[Netto]]&lt;&gt;0,ROUND(tb_rechnungen[[#This Row],[Steuer]]/tb_rechnungen[[#This Row],[Netto]],2),"")</f>
        <v/>
      </c>
    </row>
    <row r="440">
      <c r="A440" s="26" t="n"/>
      <c r="B440" s="27" t="n"/>
      <c r="C440" s="28" t="n"/>
      <c r="D440" s="28" t="n"/>
      <c r="E440" s="27" t="n"/>
      <c r="F440" s="29" t="n"/>
      <c r="G440" s="29" t="n"/>
      <c r="H440" s="30" t="n"/>
      <c r="I440" s="30" t="n"/>
      <c r="J440" s="30" t="n"/>
      <c r="K440" s="50" t="n"/>
      <c r="L440" s="50" t="n"/>
      <c r="M440" s="67" t="n"/>
      <c r="N440" s="30" t="n"/>
      <c r="O440" s="12">
        <f>IF(tb_rechnungen[[#This Row],[Re-Datum]]&gt;0,MONTH(tb_rechnungen[[#This Row],[Re-Datum]]),"")</f>
        <v/>
      </c>
      <c r="P440" s="13">
        <f>IF(tb_rechnungen[[#This Row],[Re-Datum]]&gt;0,YEAR(tb_rechnungen[[#This Row],[Re-Datum]]),"")</f>
        <v/>
      </c>
      <c r="Q440" s="19">
        <f>IF(tb_rechnungen[[#This Row],[Brutto]]&lt;&gt;0,tb_rechnungen[[#This Row],[Brutto]]-tb_rechnungen[[#This Row],[Netto]],"")</f>
        <v/>
      </c>
      <c r="R440" s="37">
        <f>IF(tb_rechnungen[[#This Row],[Netto]]&lt;&gt;0,ROUND(tb_rechnungen[[#This Row],[Steuer]]/tb_rechnungen[[#This Row],[Netto]],2),"")</f>
        <v/>
      </c>
    </row>
    <row r="441">
      <c r="A441" s="26" t="n">
        <v>46114</v>
      </c>
      <c r="B441" s="27" t="inlineStr">
        <is>
          <t>Infinigate Deutschland GmbH</t>
        </is>
      </c>
      <c r="C441" s="28" t="inlineStr">
        <is>
          <t>PSI-23440652</t>
        </is>
      </c>
      <c r="D441" s="28" t="n"/>
      <c r="E441" s="27" t="n"/>
      <c r="F441" s="29" t="n">
        <v>922.05</v>
      </c>
      <c r="G441" s="29" t="n">
        <v>1097.24</v>
      </c>
      <c r="H441" s="30" t="n"/>
      <c r="I441" s="30" t="n"/>
      <c r="J441" s="30" t="n"/>
      <c r="K441" s="50" t="n">
        <v>46128</v>
      </c>
      <c r="L441" s="50" t="n"/>
      <c r="M441" s="67" t="n"/>
      <c r="N441" s="30" t="n"/>
      <c r="O441" s="12">
        <f>IF(tb_rechnungen[[#This Row],[Re-Datum]]&gt;0,MONTH(tb_rechnungen[[#This Row],[Re-Datum]]),"")</f>
        <v/>
      </c>
      <c r="P441" s="13">
        <f>IF(tb_rechnungen[[#This Row],[Re-Datum]]&gt;0,YEAR(tb_rechnungen[[#This Row],[Re-Datum]]),"")</f>
        <v/>
      </c>
      <c r="Q441" s="19">
        <f>IF(tb_rechnungen[[#This Row],[Brutto]]&lt;&gt;0,tb_rechnungen[[#This Row],[Brutto]]-tb_rechnungen[[#This Row],[Netto]],"")</f>
        <v/>
      </c>
      <c r="R441" s="37">
        <f>IF(tb_rechnungen[[#This Row],[Netto]]&lt;&gt;0,ROUND(tb_rechnungen[[#This Row],[Steuer]]/tb_rechnungen[[#This Row],[Netto]],2),"")</f>
        <v/>
      </c>
    </row>
    <row r="442">
      <c r="A442" s="26" t="n"/>
      <c r="B442" s="27" t="n"/>
      <c r="C442" s="28" t="n"/>
      <c r="D442" s="28" t="n"/>
      <c r="E442" s="27" t="n"/>
      <c r="F442" s="29" t="n"/>
      <c r="G442" s="29" t="n"/>
      <c r="H442" s="30" t="n"/>
      <c r="I442" s="30" t="n"/>
      <c r="J442" s="30" t="n"/>
      <c r="K442" s="50" t="n"/>
      <c r="L442" s="50" t="n"/>
      <c r="M442" s="67" t="n"/>
      <c r="N442" s="30" t="n"/>
      <c r="O442" s="12">
        <f>IF(tb_rechnungen[[#This Row],[Re-Datum]]&gt;0,MONTH(tb_rechnungen[[#This Row],[Re-Datum]]),"")</f>
        <v/>
      </c>
      <c r="P442" s="13">
        <f>IF(tb_rechnungen[[#This Row],[Re-Datum]]&gt;0,YEAR(tb_rechnungen[[#This Row],[Re-Datum]]),"")</f>
        <v/>
      </c>
      <c r="Q442" s="19">
        <f>IF(tb_rechnungen[[#This Row],[Brutto]]&lt;&gt;0,tb_rechnungen[[#This Row],[Brutto]]-tb_rechnungen[[#This Row],[Netto]],"")</f>
        <v/>
      </c>
      <c r="R442" s="37">
        <f>IF(tb_rechnungen[[#This Row],[Netto]]&lt;&gt;0,ROUND(tb_rechnungen[[#This Row],[Steuer]]/tb_rechnungen[[#This Row],[Netto]],2),"")</f>
        <v/>
      </c>
    </row>
    <row r="443">
      <c r="A443" s="26" t="n"/>
      <c r="B443" s="27" t="n"/>
      <c r="C443" s="28" t="n"/>
      <c r="D443" s="28" t="n"/>
      <c r="E443" s="27" t="n"/>
      <c r="F443" s="29" t="n"/>
      <c r="G443" s="29" t="n"/>
      <c r="H443" s="30" t="n"/>
      <c r="I443" s="30" t="n"/>
      <c r="J443" s="30" t="n"/>
      <c r="K443" s="50" t="n"/>
      <c r="L443" s="50" t="n"/>
      <c r="M443" s="67" t="n"/>
      <c r="N443" s="30" t="n"/>
      <c r="O443" s="12">
        <f>IF(tb_rechnungen[[#This Row],[Re-Datum]]&gt;0,MONTH(tb_rechnungen[[#This Row],[Re-Datum]]),"")</f>
        <v/>
      </c>
      <c r="P443" s="13">
        <f>IF(tb_rechnungen[[#This Row],[Re-Datum]]&gt;0,YEAR(tb_rechnungen[[#This Row],[Re-Datum]]),"")</f>
        <v/>
      </c>
      <c r="Q443" s="19">
        <f>IF(tb_rechnungen[[#This Row],[Brutto]]&lt;&gt;0,tb_rechnungen[[#This Row],[Brutto]]-tb_rechnungen[[#This Row],[Netto]],"")</f>
        <v/>
      </c>
      <c r="R443" s="37">
        <f>IF(tb_rechnungen[[#This Row],[Netto]]&lt;&gt;0,ROUND(tb_rechnungen[[#This Row],[Steuer]]/tb_rechnungen[[#This Row],[Netto]],2),"")</f>
        <v/>
      </c>
    </row>
    <row r="444">
      <c r="A444" s="26" t="n"/>
      <c r="B444" s="27" t="n"/>
      <c r="C444" s="28" t="n"/>
      <c r="D444" s="28" t="n"/>
      <c r="E444" s="27" t="n"/>
      <c r="F444" s="29" t="n"/>
      <c r="G444" s="29" t="n"/>
      <c r="H444" s="30" t="n"/>
      <c r="I444" s="30" t="n"/>
      <c r="J444" s="30" t="n"/>
      <c r="K444" s="50" t="n"/>
      <c r="L444" s="50" t="n"/>
      <c r="M444" s="67" t="n"/>
      <c r="N444" s="30" t="n"/>
      <c r="O444" s="12">
        <f>IF(tb_rechnungen[[#This Row],[Re-Datum]]&gt;0,MONTH(tb_rechnungen[[#This Row],[Re-Datum]]),"")</f>
        <v/>
      </c>
      <c r="P444" s="13">
        <f>IF(tb_rechnungen[[#This Row],[Re-Datum]]&gt;0,YEAR(tb_rechnungen[[#This Row],[Re-Datum]]),"")</f>
        <v/>
      </c>
      <c r="Q444" s="19">
        <f>IF(tb_rechnungen[[#This Row],[Brutto]]&lt;&gt;0,tb_rechnungen[[#This Row],[Brutto]]-tb_rechnungen[[#This Row],[Netto]],"")</f>
        <v/>
      </c>
      <c r="R444" s="37">
        <f>IF(tb_rechnungen[[#This Row],[Netto]]&lt;&gt;0,ROUND(tb_rechnungen[[#This Row],[Steuer]]/tb_rechnungen[[#This Row],[Netto]],2),"")</f>
        <v/>
      </c>
    </row>
    <row r="445">
      <c r="A445" s="26" t="n"/>
      <c r="B445" s="27" t="n"/>
      <c r="C445" s="28" t="n"/>
      <c r="D445" s="28" t="n"/>
      <c r="E445" s="27" t="n"/>
      <c r="F445" s="29" t="n"/>
      <c r="G445" s="29" t="n"/>
      <c r="H445" s="30" t="n"/>
      <c r="I445" s="30" t="n"/>
      <c r="J445" s="30" t="n"/>
      <c r="K445" s="50" t="n"/>
      <c r="L445" s="50" t="n"/>
      <c r="M445" s="67" t="n"/>
      <c r="N445" s="30" t="n"/>
      <c r="O445" s="12">
        <f>IF(tb_rechnungen[[#This Row],[Re-Datum]]&gt;0,MONTH(tb_rechnungen[[#This Row],[Re-Datum]]),"")</f>
        <v/>
      </c>
      <c r="P445" s="13">
        <f>IF(tb_rechnungen[[#This Row],[Re-Datum]]&gt;0,YEAR(tb_rechnungen[[#This Row],[Re-Datum]]),"")</f>
        <v/>
      </c>
      <c r="Q445" s="19">
        <f>IF(tb_rechnungen[[#This Row],[Brutto]]&lt;&gt;0,tb_rechnungen[[#This Row],[Brutto]]-tb_rechnungen[[#This Row],[Netto]],"")</f>
        <v/>
      </c>
      <c r="R445" s="37">
        <f>IF(tb_rechnungen[[#This Row],[Netto]]&lt;&gt;0,ROUND(tb_rechnungen[[#This Row],[Steuer]]/tb_rechnungen[[#This Row],[Netto]],2),"")</f>
        <v/>
      </c>
    </row>
    <row r="446">
      <c r="A446" s="26" t="n"/>
      <c r="B446" s="27" t="n"/>
      <c r="C446" s="28" t="n"/>
      <c r="D446" s="28" t="n"/>
      <c r="E446" s="27" t="n"/>
      <c r="F446" s="29" t="n"/>
      <c r="G446" s="29" t="n"/>
      <c r="H446" s="30" t="n"/>
      <c r="I446" s="30" t="n"/>
      <c r="J446" s="30" t="n"/>
      <c r="K446" s="50" t="n"/>
      <c r="L446" s="50" t="n"/>
      <c r="M446" s="67" t="n"/>
      <c r="N446" s="30" t="n"/>
      <c r="O446" s="12">
        <f>IF(tb_rechnungen[[#This Row],[Re-Datum]]&gt;0,MONTH(tb_rechnungen[[#This Row],[Re-Datum]]),"")</f>
        <v/>
      </c>
      <c r="P446" s="13">
        <f>IF(tb_rechnungen[[#This Row],[Re-Datum]]&gt;0,YEAR(tb_rechnungen[[#This Row],[Re-Datum]]),"")</f>
        <v/>
      </c>
      <c r="Q446" s="19">
        <f>IF(tb_rechnungen[[#This Row],[Brutto]]&lt;&gt;0,tb_rechnungen[[#This Row],[Brutto]]-tb_rechnungen[[#This Row],[Netto]],"")</f>
        <v/>
      </c>
      <c r="R446" s="37">
        <f>IF(tb_rechnungen[[#This Row],[Netto]]&lt;&gt;0,ROUND(tb_rechnungen[[#This Row],[Steuer]]/tb_rechnungen[[#This Row],[Netto]],2),"")</f>
        <v/>
      </c>
    </row>
    <row r="447">
      <c r="A447" s="26" t="n"/>
      <c r="B447" s="27" t="n"/>
      <c r="C447" s="28" t="n"/>
      <c r="D447" s="28" t="n"/>
      <c r="E447" s="27" t="n"/>
      <c r="F447" s="29" t="n"/>
      <c r="G447" s="29" t="n"/>
      <c r="H447" s="30" t="n"/>
      <c r="I447" s="30" t="n"/>
      <c r="J447" s="30" t="n"/>
      <c r="K447" s="50" t="n"/>
      <c r="L447" s="50" t="n"/>
      <c r="M447" s="67" t="n"/>
      <c r="N447" s="30" t="n"/>
      <c r="O447" s="12">
        <f>IF(tb_rechnungen[[#This Row],[Re-Datum]]&gt;0,MONTH(tb_rechnungen[[#This Row],[Re-Datum]]),"")</f>
        <v/>
      </c>
      <c r="P447" s="13">
        <f>IF(tb_rechnungen[[#This Row],[Re-Datum]]&gt;0,YEAR(tb_rechnungen[[#This Row],[Re-Datum]]),"")</f>
        <v/>
      </c>
      <c r="Q447" s="19">
        <f>IF(tb_rechnungen[[#This Row],[Brutto]]&lt;&gt;0,tb_rechnungen[[#This Row],[Brutto]]-tb_rechnungen[[#This Row],[Netto]],"")</f>
        <v/>
      </c>
      <c r="R447" s="37">
        <f>IF(tb_rechnungen[[#This Row],[Netto]]&lt;&gt;0,ROUND(tb_rechnungen[[#This Row],[Steuer]]/tb_rechnungen[[#This Row],[Netto]],2),"")</f>
        <v/>
      </c>
    </row>
    <row r="448">
      <c r="A448" s="26" t="n"/>
      <c r="B448" s="27" t="n"/>
      <c r="C448" s="28" t="n"/>
      <c r="D448" s="28" t="n"/>
      <c r="E448" s="27" t="n"/>
      <c r="F448" s="29" t="n"/>
      <c r="G448" s="29" t="n"/>
      <c r="H448" s="30" t="n"/>
      <c r="I448" s="30" t="n"/>
      <c r="J448" s="30" t="n"/>
      <c r="K448" s="50" t="n"/>
      <c r="L448" s="50" t="n"/>
      <c r="M448" s="67" t="n"/>
      <c r="N448" s="30" t="n"/>
      <c r="O448" s="12">
        <f>IF(tb_rechnungen[[#This Row],[Re-Datum]]&gt;0,MONTH(tb_rechnungen[[#This Row],[Re-Datum]]),"")</f>
        <v/>
      </c>
      <c r="P448" s="13">
        <f>IF(tb_rechnungen[[#This Row],[Re-Datum]]&gt;0,YEAR(tb_rechnungen[[#This Row],[Re-Datum]]),"")</f>
        <v/>
      </c>
      <c r="Q448" s="19">
        <f>IF(tb_rechnungen[[#This Row],[Brutto]]&lt;&gt;0,tb_rechnungen[[#This Row],[Brutto]]-tb_rechnungen[[#This Row],[Netto]],"")</f>
        <v/>
      </c>
      <c r="R448" s="37">
        <f>IF(tb_rechnungen[[#This Row],[Netto]]&lt;&gt;0,ROUND(tb_rechnungen[[#This Row],[Steuer]]/tb_rechnungen[[#This Row],[Netto]],2),"")</f>
        <v/>
      </c>
    </row>
    <row r="449">
      <c r="A449" s="26" t="n"/>
      <c r="B449" s="27" t="n"/>
      <c r="C449" s="28" t="n"/>
      <c r="D449" s="28" t="n"/>
      <c r="E449" s="27" t="n"/>
      <c r="F449" s="29" t="n"/>
      <c r="G449" s="29" t="n"/>
      <c r="H449" s="30" t="n"/>
      <c r="I449" s="30" t="n"/>
      <c r="J449" s="30" t="n"/>
      <c r="K449" s="50" t="n"/>
      <c r="L449" s="50" t="n"/>
      <c r="M449" s="67" t="n"/>
      <c r="N449" s="30" t="n"/>
      <c r="O449" s="12">
        <f>IF(tb_rechnungen[[#This Row],[Re-Datum]]&gt;0,MONTH(tb_rechnungen[[#This Row],[Re-Datum]]),"")</f>
        <v/>
      </c>
      <c r="P449" s="13">
        <f>IF(tb_rechnungen[[#This Row],[Re-Datum]]&gt;0,YEAR(tb_rechnungen[[#This Row],[Re-Datum]]),"")</f>
        <v/>
      </c>
      <c r="Q449" s="19">
        <f>IF(tb_rechnungen[[#This Row],[Brutto]]&lt;&gt;0,tb_rechnungen[[#This Row],[Brutto]]-tb_rechnungen[[#This Row],[Netto]],"")</f>
        <v/>
      </c>
      <c r="R449" s="37">
        <f>IF(tb_rechnungen[[#This Row],[Netto]]&lt;&gt;0,ROUND(tb_rechnungen[[#This Row],[Steuer]]/tb_rechnungen[[#This Row],[Netto]],2),"")</f>
        <v/>
      </c>
    </row>
    <row r="450">
      <c r="A450" s="26" t="n"/>
      <c r="B450" s="27" t="n"/>
      <c r="C450" s="28" t="n"/>
      <c r="D450" s="28" t="n"/>
      <c r="E450" s="27" t="n"/>
      <c r="F450" s="29" t="n"/>
      <c r="G450" s="29" t="n"/>
      <c r="H450" s="30" t="n"/>
      <c r="I450" s="30" t="n"/>
      <c r="J450" s="30" t="n"/>
      <c r="K450" s="50" t="n"/>
      <c r="L450" s="50" t="n"/>
      <c r="M450" s="67" t="n"/>
      <c r="N450" s="30" t="n"/>
      <c r="O450" s="12">
        <f>IF(tb_rechnungen[[#This Row],[Re-Datum]]&gt;0,MONTH(tb_rechnungen[[#This Row],[Re-Datum]]),"")</f>
        <v/>
      </c>
      <c r="P450" s="13">
        <f>IF(tb_rechnungen[[#This Row],[Re-Datum]]&gt;0,YEAR(tb_rechnungen[[#This Row],[Re-Datum]]),"")</f>
        <v/>
      </c>
      <c r="Q450" s="19">
        <f>IF(tb_rechnungen[[#This Row],[Brutto]]&lt;&gt;0,tb_rechnungen[[#This Row],[Brutto]]-tb_rechnungen[[#This Row],[Netto]],"")</f>
        <v/>
      </c>
      <c r="R450" s="37">
        <f>IF(tb_rechnungen[[#This Row],[Netto]]&lt;&gt;0,ROUND(tb_rechnungen[[#This Row],[Steuer]]/tb_rechnungen[[#This Row],[Netto]],2),"")</f>
        <v/>
      </c>
    </row>
    <row r="451">
      <c r="A451" s="26" t="n"/>
      <c r="B451" s="27" t="n"/>
      <c r="C451" s="28" t="n"/>
      <c r="D451" s="28" t="n"/>
      <c r="E451" s="27" t="n"/>
      <c r="F451" s="29" t="n"/>
      <c r="G451" s="29" t="n"/>
      <c r="H451" s="30" t="n"/>
      <c r="I451" s="30" t="n"/>
      <c r="J451" s="30" t="n"/>
      <c r="K451" s="50" t="n"/>
      <c r="L451" s="50" t="n"/>
      <c r="M451" s="67" t="n"/>
      <c r="N451" s="30" t="n"/>
      <c r="O451" s="12">
        <f>IF(tb_rechnungen[[#This Row],[Re-Datum]]&gt;0,MONTH(tb_rechnungen[[#This Row],[Re-Datum]]),"")</f>
        <v/>
      </c>
      <c r="P451" s="13">
        <f>IF(tb_rechnungen[[#This Row],[Re-Datum]]&gt;0,YEAR(tb_rechnungen[[#This Row],[Re-Datum]]),"")</f>
        <v/>
      </c>
      <c r="Q451" s="19">
        <f>IF(tb_rechnungen[[#This Row],[Brutto]]&lt;&gt;0,tb_rechnungen[[#This Row],[Brutto]]-tb_rechnungen[[#This Row],[Netto]],"")</f>
        <v/>
      </c>
      <c r="R451" s="37">
        <f>IF(tb_rechnungen[[#This Row],[Netto]]&lt;&gt;0,ROUND(tb_rechnungen[[#This Row],[Steuer]]/tb_rechnungen[[#This Row],[Netto]],2),"")</f>
        <v/>
      </c>
    </row>
    <row r="452">
      <c r="A452" s="26" t="n"/>
      <c r="B452" s="27" t="n"/>
      <c r="C452" s="28" t="n"/>
      <c r="D452" s="28" t="n"/>
      <c r="E452" s="27" t="n"/>
      <c r="F452" s="29" t="n"/>
      <c r="G452" s="29" t="n"/>
      <c r="H452" s="30" t="n"/>
      <c r="I452" s="30" t="n"/>
      <c r="J452" s="30" t="n"/>
      <c r="K452" s="50" t="n"/>
      <c r="L452" s="50" t="n"/>
      <c r="M452" s="67" t="n"/>
      <c r="N452" s="30" t="n"/>
      <c r="O452" s="12">
        <f>IF(tb_rechnungen[[#This Row],[Re-Datum]]&gt;0,MONTH(tb_rechnungen[[#This Row],[Re-Datum]]),"")</f>
        <v/>
      </c>
      <c r="P452" s="13">
        <f>IF(tb_rechnungen[[#This Row],[Re-Datum]]&gt;0,YEAR(tb_rechnungen[[#This Row],[Re-Datum]]),"")</f>
        <v/>
      </c>
      <c r="Q452" s="19">
        <f>IF(tb_rechnungen[[#This Row],[Brutto]]&lt;&gt;0,tb_rechnungen[[#This Row],[Brutto]]-tb_rechnungen[[#This Row],[Netto]],"")</f>
        <v/>
      </c>
      <c r="R452" s="37">
        <f>IF(tb_rechnungen[[#This Row],[Netto]]&lt;&gt;0,ROUND(tb_rechnungen[[#This Row],[Steuer]]/tb_rechnungen[[#This Row],[Netto]],2),"")</f>
        <v/>
      </c>
    </row>
    <row r="453">
      <c r="A453" s="26" t="n"/>
      <c r="B453" s="27" t="n"/>
      <c r="C453" s="28" t="n"/>
      <c r="D453" s="28" t="n"/>
      <c r="E453" s="27" t="n"/>
      <c r="F453" s="29" t="n"/>
      <c r="G453" s="29" t="n"/>
      <c r="H453" s="30" t="n"/>
      <c r="I453" s="30" t="n"/>
      <c r="J453" s="30" t="n"/>
      <c r="K453" s="50" t="n"/>
      <c r="L453" s="50" t="n"/>
      <c r="M453" s="67" t="n"/>
      <c r="N453" s="30" t="n"/>
      <c r="O453" s="12">
        <f>IF(tb_rechnungen[[#This Row],[Re-Datum]]&gt;0,MONTH(tb_rechnungen[[#This Row],[Re-Datum]]),"")</f>
        <v/>
      </c>
      <c r="P453" s="13">
        <f>IF(tb_rechnungen[[#This Row],[Re-Datum]]&gt;0,YEAR(tb_rechnungen[[#This Row],[Re-Datum]]),"")</f>
        <v/>
      </c>
      <c r="Q453" s="19">
        <f>IF(tb_rechnungen[[#This Row],[Brutto]]&lt;&gt;0,tb_rechnungen[[#This Row],[Brutto]]-tb_rechnungen[[#This Row],[Netto]],"")</f>
        <v/>
      </c>
      <c r="R453" s="37">
        <f>IF(tb_rechnungen[[#This Row],[Netto]]&lt;&gt;0,ROUND(tb_rechnungen[[#This Row],[Steuer]]/tb_rechnungen[[#This Row],[Netto]],2),"")</f>
        <v/>
      </c>
    </row>
    <row r="454">
      <c r="A454" s="26" t="n"/>
      <c r="B454" s="27" t="n"/>
      <c r="C454" s="28" t="n"/>
      <c r="D454" s="28" t="n"/>
      <c r="E454" s="27" t="n"/>
      <c r="F454" s="29" t="n"/>
      <c r="G454" s="29" t="n"/>
      <c r="H454" s="30" t="n"/>
      <c r="I454" s="30" t="n"/>
      <c r="J454" s="30" t="n"/>
      <c r="K454" s="50" t="n"/>
      <c r="L454" s="50" t="n"/>
      <c r="M454" s="67" t="n"/>
      <c r="N454" s="30" t="n"/>
      <c r="O454" s="12">
        <f>IF(tb_rechnungen[[#This Row],[Re-Datum]]&gt;0,MONTH(tb_rechnungen[[#This Row],[Re-Datum]]),"")</f>
        <v/>
      </c>
      <c r="P454" s="13">
        <f>IF(tb_rechnungen[[#This Row],[Re-Datum]]&gt;0,YEAR(tb_rechnungen[[#This Row],[Re-Datum]]),"")</f>
        <v/>
      </c>
      <c r="Q454" s="19">
        <f>IF(tb_rechnungen[[#This Row],[Brutto]]&lt;&gt;0,tb_rechnungen[[#This Row],[Brutto]]-tb_rechnungen[[#This Row],[Netto]],"")</f>
        <v/>
      </c>
      <c r="R454" s="37">
        <f>IF(tb_rechnungen[[#This Row],[Netto]]&lt;&gt;0,ROUND(tb_rechnungen[[#This Row],[Steuer]]/tb_rechnungen[[#This Row],[Netto]],2),"")</f>
        <v/>
      </c>
    </row>
    <row r="455">
      <c r="A455" s="26" t="n"/>
      <c r="B455" s="27" t="n"/>
      <c r="C455" s="28" t="n"/>
      <c r="D455" s="28" t="n"/>
      <c r="E455" s="27" t="n"/>
      <c r="F455" s="29" t="n"/>
      <c r="G455" s="29" t="n"/>
      <c r="H455" s="30" t="n"/>
      <c r="I455" s="30" t="n"/>
      <c r="J455" s="30" t="n"/>
      <c r="K455" s="50" t="n"/>
      <c r="L455" s="50" t="n"/>
      <c r="M455" s="67" t="n"/>
      <c r="N455" s="30" t="n"/>
      <c r="O455" s="12">
        <f>IF(tb_rechnungen[[#This Row],[Re-Datum]]&gt;0,MONTH(tb_rechnungen[[#This Row],[Re-Datum]]),"")</f>
        <v/>
      </c>
      <c r="P455" s="13">
        <f>IF(tb_rechnungen[[#This Row],[Re-Datum]]&gt;0,YEAR(tb_rechnungen[[#This Row],[Re-Datum]]),"")</f>
        <v/>
      </c>
      <c r="Q455" s="19">
        <f>IF(tb_rechnungen[[#This Row],[Brutto]]&lt;&gt;0,tb_rechnungen[[#This Row],[Brutto]]-tb_rechnungen[[#This Row],[Netto]],"")</f>
        <v/>
      </c>
      <c r="R455" s="37">
        <f>IF(tb_rechnungen[[#This Row],[Netto]]&lt;&gt;0,ROUND(tb_rechnungen[[#This Row],[Steuer]]/tb_rechnungen[[#This Row],[Netto]],2),"")</f>
        <v/>
      </c>
    </row>
    <row r="456">
      <c r="A456" s="26" t="n"/>
      <c r="B456" s="27" t="n"/>
      <c r="C456" s="28" t="n"/>
      <c r="D456" s="28" t="n"/>
      <c r="E456" s="27" t="n"/>
      <c r="F456" s="29" t="n"/>
      <c r="G456" s="29" t="n"/>
      <c r="H456" s="30" t="n"/>
      <c r="I456" s="30" t="n"/>
      <c r="J456" s="30" t="n"/>
      <c r="K456" s="50" t="n"/>
      <c r="L456" s="50" t="n"/>
      <c r="M456" s="67" t="n"/>
      <c r="N456" s="30" t="n"/>
      <c r="O456" s="12">
        <f>IF(tb_rechnungen[[#This Row],[Re-Datum]]&gt;0,MONTH(tb_rechnungen[[#This Row],[Re-Datum]]),"")</f>
        <v/>
      </c>
      <c r="P456" s="13">
        <f>IF(tb_rechnungen[[#This Row],[Re-Datum]]&gt;0,YEAR(tb_rechnungen[[#This Row],[Re-Datum]]),"")</f>
        <v/>
      </c>
      <c r="Q456" s="19">
        <f>IF(tb_rechnungen[[#This Row],[Brutto]]&lt;&gt;0,tb_rechnungen[[#This Row],[Brutto]]-tb_rechnungen[[#This Row],[Netto]],"")</f>
        <v/>
      </c>
      <c r="R456" s="37">
        <f>IF(tb_rechnungen[[#This Row],[Netto]]&lt;&gt;0,ROUND(tb_rechnungen[[#This Row],[Steuer]]/tb_rechnungen[[#This Row],[Netto]],2),"")</f>
        <v/>
      </c>
    </row>
    <row r="457">
      <c r="A457" s="26" t="n"/>
      <c r="B457" s="27" t="n"/>
      <c r="C457" s="28" t="n"/>
      <c r="D457" s="28" t="n"/>
      <c r="E457" s="27" t="n"/>
      <c r="F457" s="29" t="n"/>
      <c r="G457" s="29" t="n"/>
      <c r="H457" s="30" t="n"/>
      <c r="I457" s="30" t="n"/>
      <c r="J457" s="30" t="n"/>
      <c r="K457" s="50" t="n"/>
      <c r="L457" s="50" t="n"/>
      <c r="M457" s="67" t="n"/>
      <c r="N457" s="30" t="n"/>
      <c r="O457" s="12">
        <f>IF(tb_rechnungen[[#This Row],[Re-Datum]]&gt;0,MONTH(tb_rechnungen[[#This Row],[Re-Datum]]),"")</f>
        <v/>
      </c>
      <c r="P457" s="13">
        <f>IF(tb_rechnungen[[#This Row],[Re-Datum]]&gt;0,YEAR(tb_rechnungen[[#This Row],[Re-Datum]]),"")</f>
        <v/>
      </c>
      <c r="Q457" s="19">
        <f>IF(tb_rechnungen[[#This Row],[Brutto]]&lt;&gt;0,tb_rechnungen[[#This Row],[Brutto]]-tb_rechnungen[[#This Row],[Netto]],"")</f>
        <v/>
      </c>
      <c r="R457" s="37">
        <f>IF(tb_rechnungen[[#This Row],[Netto]]&lt;&gt;0,ROUND(tb_rechnungen[[#This Row],[Steuer]]/tb_rechnungen[[#This Row],[Netto]],2),"")</f>
        <v/>
      </c>
    </row>
    <row r="458">
      <c r="A458" s="26" t="n"/>
      <c r="B458" s="27" t="n"/>
      <c r="C458" s="28" t="n"/>
      <c r="D458" s="28" t="n"/>
      <c r="E458" s="27" t="n"/>
      <c r="F458" s="29" t="n"/>
      <c r="G458" s="29" t="n"/>
      <c r="H458" s="30" t="n"/>
      <c r="I458" s="30" t="n"/>
      <c r="J458" s="30" t="n"/>
      <c r="K458" s="50" t="n"/>
      <c r="L458" s="50" t="n"/>
      <c r="M458" s="67" t="n"/>
      <c r="N458" s="30" t="n"/>
      <c r="O458" s="12">
        <f>IF(tb_rechnungen[[#This Row],[Re-Datum]]&gt;0,MONTH(tb_rechnungen[[#This Row],[Re-Datum]]),"")</f>
        <v/>
      </c>
      <c r="P458" s="13">
        <f>IF(tb_rechnungen[[#This Row],[Re-Datum]]&gt;0,YEAR(tb_rechnungen[[#This Row],[Re-Datum]]),"")</f>
        <v/>
      </c>
      <c r="Q458" s="19">
        <f>IF(tb_rechnungen[[#This Row],[Brutto]]&lt;&gt;0,tb_rechnungen[[#This Row],[Brutto]]-tb_rechnungen[[#This Row],[Netto]],"")</f>
        <v/>
      </c>
      <c r="R458" s="37">
        <f>IF(tb_rechnungen[[#This Row],[Netto]]&lt;&gt;0,ROUND(tb_rechnungen[[#This Row],[Steuer]]/tb_rechnungen[[#This Row],[Netto]],2),"")</f>
        <v/>
      </c>
    </row>
    <row r="459">
      <c r="A459" s="26" t="n"/>
      <c r="B459" s="27" t="n"/>
      <c r="C459" s="28" t="n"/>
      <c r="D459" s="28" t="n"/>
      <c r="E459" s="27" t="n"/>
      <c r="F459" s="29" t="n"/>
      <c r="G459" s="29" t="n"/>
      <c r="H459" s="30" t="n"/>
      <c r="I459" s="30" t="n"/>
      <c r="J459" s="30" t="n"/>
      <c r="K459" s="50" t="n"/>
      <c r="L459" s="50" t="n"/>
      <c r="M459" s="67" t="n"/>
      <c r="N459" s="30" t="n"/>
      <c r="O459" s="12">
        <f>IF(tb_rechnungen[[#This Row],[Re-Datum]]&gt;0,MONTH(tb_rechnungen[[#This Row],[Re-Datum]]),"")</f>
        <v/>
      </c>
      <c r="P459" s="13">
        <f>IF(tb_rechnungen[[#This Row],[Re-Datum]]&gt;0,YEAR(tb_rechnungen[[#This Row],[Re-Datum]]),"")</f>
        <v/>
      </c>
      <c r="Q459" s="19">
        <f>IF(tb_rechnungen[[#This Row],[Brutto]]&lt;&gt;0,tb_rechnungen[[#This Row],[Brutto]]-tb_rechnungen[[#This Row],[Netto]],"")</f>
        <v/>
      </c>
      <c r="R459" s="37">
        <f>IF(tb_rechnungen[[#This Row],[Netto]]&lt;&gt;0,ROUND(tb_rechnungen[[#This Row],[Steuer]]/tb_rechnungen[[#This Row],[Netto]],2),"")</f>
        <v/>
      </c>
    </row>
    <row r="460">
      <c r="A460" s="26" t="n"/>
      <c r="B460" s="27" t="n"/>
      <c r="C460" s="28" t="n"/>
      <c r="D460" s="28" t="n"/>
      <c r="E460" s="27" t="n"/>
      <c r="F460" s="29" t="n"/>
      <c r="G460" s="29" t="n"/>
      <c r="H460" s="30" t="n"/>
      <c r="I460" s="30" t="n"/>
      <c r="J460" s="30" t="n"/>
      <c r="K460" s="50" t="n"/>
      <c r="L460" s="50" t="n"/>
      <c r="M460" s="67" t="n"/>
      <c r="N460" s="30" t="n"/>
      <c r="O460" s="12">
        <f>IF(tb_rechnungen[[#This Row],[Re-Datum]]&gt;0,MONTH(tb_rechnungen[[#This Row],[Re-Datum]]),"")</f>
        <v/>
      </c>
      <c r="P460" s="13">
        <f>IF(tb_rechnungen[[#This Row],[Re-Datum]]&gt;0,YEAR(tb_rechnungen[[#This Row],[Re-Datum]]),"")</f>
        <v/>
      </c>
      <c r="Q460" s="19">
        <f>IF(tb_rechnungen[[#This Row],[Brutto]]&lt;&gt;0,tb_rechnungen[[#This Row],[Brutto]]-tb_rechnungen[[#This Row],[Netto]],"")</f>
        <v/>
      </c>
      <c r="R460" s="37">
        <f>IF(tb_rechnungen[[#This Row],[Netto]]&lt;&gt;0,ROUND(tb_rechnungen[[#This Row],[Steuer]]/tb_rechnungen[[#This Row],[Netto]],2),"")</f>
        <v/>
      </c>
    </row>
    <row r="461">
      <c r="A461" s="26" t="n"/>
      <c r="B461" s="27" t="n"/>
      <c r="C461" s="28" t="n"/>
      <c r="D461" s="28" t="n"/>
      <c r="E461" s="27" t="n"/>
      <c r="F461" s="29" t="n"/>
      <c r="G461" s="29" t="n"/>
      <c r="H461" s="30" t="n"/>
      <c r="I461" s="30" t="n"/>
      <c r="J461" s="30" t="n"/>
      <c r="K461" s="50" t="n"/>
      <c r="L461" s="50" t="n"/>
      <c r="M461" s="67" t="n"/>
      <c r="N461" s="30" t="n"/>
      <c r="O461" s="12">
        <f>IF(tb_rechnungen[[#This Row],[Re-Datum]]&gt;0,MONTH(tb_rechnungen[[#This Row],[Re-Datum]]),"")</f>
        <v/>
      </c>
      <c r="P461" s="13">
        <f>IF(tb_rechnungen[[#This Row],[Re-Datum]]&gt;0,YEAR(tb_rechnungen[[#This Row],[Re-Datum]]),"")</f>
        <v/>
      </c>
      <c r="Q461" s="19">
        <f>IF(tb_rechnungen[[#This Row],[Brutto]]&lt;&gt;0,tb_rechnungen[[#This Row],[Brutto]]-tb_rechnungen[[#This Row],[Netto]],"")</f>
        <v/>
      </c>
      <c r="R461" s="37">
        <f>IF(tb_rechnungen[[#This Row],[Netto]]&lt;&gt;0,ROUND(tb_rechnungen[[#This Row],[Steuer]]/tb_rechnungen[[#This Row],[Netto]],2),"")</f>
        <v/>
      </c>
    </row>
    <row r="462">
      <c r="A462" s="26" t="n"/>
      <c r="B462" s="27" t="n"/>
      <c r="C462" s="28" t="n"/>
      <c r="D462" s="28" t="n"/>
      <c r="E462" s="27" t="n"/>
      <c r="F462" s="29" t="n"/>
      <c r="G462" s="29" t="n"/>
      <c r="H462" s="30" t="n"/>
      <c r="I462" s="30" t="n"/>
      <c r="J462" s="30" t="n"/>
      <c r="K462" s="50" t="n"/>
      <c r="L462" s="50" t="n"/>
      <c r="M462" s="67" t="n"/>
      <c r="N462" s="30" t="n"/>
      <c r="O462" s="12">
        <f>IF(tb_rechnungen[[#This Row],[Re-Datum]]&gt;0,MONTH(tb_rechnungen[[#This Row],[Re-Datum]]),"")</f>
        <v/>
      </c>
      <c r="P462" s="13">
        <f>IF(tb_rechnungen[[#This Row],[Re-Datum]]&gt;0,YEAR(tb_rechnungen[[#This Row],[Re-Datum]]),"")</f>
        <v/>
      </c>
      <c r="Q462" s="19">
        <f>IF(tb_rechnungen[[#This Row],[Brutto]]&lt;&gt;0,tb_rechnungen[[#This Row],[Brutto]]-tb_rechnungen[[#This Row],[Netto]],"")</f>
        <v/>
      </c>
      <c r="R462" s="37">
        <f>IF(tb_rechnungen[[#This Row],[Netto]]&lt;&gt;0,ROUND(tb_rechnungen[[#This Row],[Steuer]]/tb_rechnungen[[#This Row],[Netto]],2),"")</f>
        <v/>
      </c>
    </row>
    <row r="463">
      <c r="A463" s="26" t="n"/>
      <c r="B463" s="27" t="n"/>
      <c r="C463" s="28" t="n"/>
      <c r="D463" s="28" t="n"/>
      <c r="E463" s="27" t="n"/>
      <c r="F463" s="29" t="n"/>
      <c r="G463" s="29" t="n"/>
      <c r="H463" s="30" t="n"/>
      <c r="I463" s="30" t="n"/>
      <c r="J463" s="30" t="n"/>
      <c r="K463" s="50" t="n"/>
      <c r="L463" s="50" t="n"/>
      <c r="M463" s="67" t="n"/>
      <c r="N463" s="30" t="n"/>
      <c r="O463" s="12">
        <f>IF(tb_rechnungen[[#This Row],[Re-Datum]]&gt;0,MONTH(tb_rechnungen[[#This Row],[Re-Datum]]),"")</f>
        <v/>
      </c>
      <c r="P463" s="13">
        <f>IF(tb_rechnungen[[#This Row],[Re-Datum]]&gt;0,YEAR(tb_rechnungen[[#This Row],[Re-Datum]]),"")</f>
        <v/>
      </c>
      <c r="Q463" s="19">
        <f>IF(tb_rechnungen[[#This Row],[Brutto]]&lt;&gt;0,tb_rechnungen[[#This Row],[Brutto]]-tb_rechnungen[[#This Row],[Netto]],"")</f>
        <v/>
      </c>
      <c r="R463" s="37">
        <f>IF(tb_rechnungen[[#This Row],[Netto]]&lt;&gt;0,ROUND(tb_rechnungen[[#This Row],[Steuer]]/tb_rechnungen[[#This Row],[Netto]],2),"")</f>
        <v/>
      </c>
    </row>
    <row r="464">
      <c r="A464" s="26" t="n"/>
      <c r="B464" s="27" t="n"/>
      <c r="C464" s="28" t="n"/>
      <c r="D464" s="28" t="n"/>
      <c r="E464" s="27" t="n"/>
      <c r="F464" s="29" t="n"/>
      <c r="G464" s="29" t="n"/>
      <c r="H464" s="30" t="n"/>
      <c r="I464" s="30" t="n"/>
      <c r="J464" s="30" t="n"/>
      <c r="K464" s="50" t="n"/>
      <c r="L464" s="50" t="n"/>
      <c r="M464" s="67" t="n"/>
      <c r="N464" s="30" t="n"/>
      <c r="O464" s="12">
        <f>IF(tb_rechnungen[[#This Row],[Re-Datum]]&gt;0,MONTH(tb_rechnungen[[#This Row],[Re-Datum]]),"")</f>
        <v/>
      </c>
      <c r="P464" s="13">
        <f>IF(tb_rechnungen[[#This Row],[Re-Datum]]&gt;0,YEAR(tb_rechnungen[[#This Row],[Re-Datum]]),"")</f>
        <v/>
      </c>
      <c r="Q464" s="19">
        <f>IF(tb_rechnungen[[#This Row],[Brutto]]&lt;&gt;0,tb_rechnungen[[#This Row],[Brutto]]-tb_rechnungen[[#This Row],[Netto]],"")</f>
        <v/>
      </c>
      <c r="R464" s="37">
        <f>IF(tb_rechnungen[[#This Row],[Netto]]&lt;&gt;0,ROUND(tb_rechnungen[[#This Row],[Steuer]]/tb_rechnungen[[#This Row],[Netto]],2),"")</f>
        <v/>
      </c>
    </row>
    <row r="465">
      <c r="A465" s="26" t="n"/>
      <c r="B465" s="27" t="n"/>
      <c r="C465" s="28" t="n"/>
      <c r="D465" s="28" t="n"/>
      <c r="E465" s="27" t="n"/>
      <c r="F465" s="29" t="n"/>
      <c r="G465" s="29" t="n"/>
      <c r="H465" s="30" t="n"/>
      <c r="I465" s="30" t="n"/>
      <c r="J465" s="30" t="n"/>
      <c r="K465" s="50" t="n"/>
      <c r="L465" s="50" t="n"/>
      <c r="M465" s="67" t="n"/>
      <c r="N465" s="30" t="n"/>
      <c r="O465" s="12">
        <f>IF(tb_rechnungen[[#This Row],[Re-Datum]]&gt;0,MONTH(tb_rechnungen[[#This Row],[Re-Datum]]),"")</f>
        <v/>
      </c>
      <c r="P465" s="13">
        <f>IF(tb_rechnungen[[#This Row],[Re-Datum]]&gt;0,YEAR(tb_rechnungen[[#This Row],[Re-Datum]]),"")</f>
        <v/>
      </c>
      <c r="Q465" s="19">
        <f>IF(tb_rechnungen[[#This Row],[Brutto]]&lt;&gt;0,tb_rechnungen[[#This Row],[Brutto]]-tb_rechnungen[[#This Row],[Netto]],"")</f>
        <v/>
      </c>
      <c r="R465" s="37">
        <f>IF(tb_rechnungen[[#This Row],[Netto]]&lt;&gt;0,ROUND(tb_rechnungen[[#This Row],[Steuer]]/tb_rechnungen[[#This Row],[Netto]],2),"")</f>
        <v/>
      </c>
    </row>
    <row r="466">
      <c r="A466" s="26" t="n"/>
      <c r="B466" s="27" t="n"/>
      <c r="C466" s="28" t="n"/>
      <c r="D466" s="28" t="n"/>
      <c r="E466" s="27" t="n"/>
      <c r="F466" s="29" t="n"/>
      <c r="G466" s="29" t="n"/>
      <c r="H466" s="30" t="n"/>
      <c r="I466" s="30" t="n"/>
      <c r="J466" s="30" t="n"/>
      <c r="K466" s="50" t="n"/>
      <c r="L466" s="50" t="n"/>
      <c r="M466" s="67" t="n"/>
      <c r="N466" s="30" t="n"/>
      <c r="O466" s="12">
        <f>IF(tb_rechnungen[[#This Row],[Re-Datum]]&gt;0,MONTH(tb_rechnungen[[#This Row],[Re-Datum]]),"")</f>
        <v/>
      </c>
      <c r="P466" s="13">
        <f>IF(tb_rechnungen[[#This Row],[Re-Datum]]&gt;0,YEAR(tb_rechnungen[[#This Row],[Re-Datum]]),"")</f>
        <v/>
      </c>
      <c r="Q466" s="19">
        <f>IF(tb_rechnungen[[#This Row],[Brutto]]&lt;&gt;0,tb_rechnungen[[#This Row],[Brutto]]-tb_rechnungen[[#This Row],[Netto]],"")</f>
        <v/>
      </c>
      <c r="R466" s="37">
        <f>IF(tb_rechnungen[[#This Row],[Netto]]&lt;&gt;0,ROUND(tb_rechnungen[[#This Row],[Steuer]]/tb_rechnungen[[#This Row],[Netto]],2),"")</f>
        <v/>
      </c>
    </row>
    <row r="467">
      <c r="A467" s="26" t="n"/>
      <c r="B467" s="27" t="n"/>
      <c r="C467" s="28" t="n"/>
      <c r="D467" s="28" t="n"/>
      <c r="E467" s="27" t="n"/>
      <c r="F467" s="29" t="n"/>
      <c r="G467" s="29" t="n"/>
      <c r="H467" s="30" t="n"/>
      <c r="I467" s="30" t="n"/>
      <c r="J467" s="30" t="n"/>
      <c r="K467" s="50" t="n"/>
      <c r="L467" s="50" t="n"/>
      <c r="M467" s="67" t="n"/>
      <c r="N467" s="30" t="n"/>
      <c r="O467" s="12">
        <f>IF(tb_rechnungen[[#This Row],[Re-Datum]]&gt;0,MONTH(tb_rechnungen[[#This Row],[Re-Datum]]),"")</f>
        <v/>
      </c>
      <c r="P467" s="13">
        <f>IF(tb_rechnungen[[#This Row],[Re-Datum]]&gt;0,YEAR(tb_rechnungen[[#This Row],[Re-Datum]]),"")</f>
        <v/>
      </c>
      <c r="Q467" s="19">
        <f>IF(tb_rechnungen[[#This Row],[Brutto]]&lt;&gt;0,tb_rechnungen[[#This Row],[Brutto]]-tb_rechnungen[[#This Row],[Netto]],"")</f>
        <v/>
      </c>
      <c r="R467" s="37">
        <f>IF(tb_rechnungen[[#This Row],[Netto]]&lt;&gt;0,ROUND(tb_rechnungen[[#This Row],[Steuer]]/tb_rechnungen[[#This Row],[Netto]],2),"")</f>
        <v/>
      </c>
    </row>
    <row r="468">
      <c r="A468" s="26" t="n"/>
      <c r="B468" s="27" t="n"/>
      <c r="C468" s="28" t="n"/>
      <c r="D468" s="28" t="n"/>
      <c r="E468" s="27" t="n"/>
      <c r="F468" s="29" t="n"/>
      <c r="G468" s="29" t="n"/>
      <c r="H468" s="30" t="n"/>
      <c r="I468" s="30" t="n"/>
      <c r="J468" s="30" t="n"/>
      <c r="K468" s="50" t="n"/>
      <c r="L468" s="50" t="n"/>
      <c r="M468" s="67" t="n"/>
      <c r="N468" s="30" t="n"/>
      <c r="O468" s="12">
        <f>IF(tb_rechnungen[[#This Row],[Re-Datum]]&gt;0,MONTH(tb_rechnungen[[#This Row],[Re-Datum]]),"")</f>
        <v/>
      </c>
      <c r="P468" s="13">
        <f>IF(tb_rechnungen[[#This Row],[Re-Datum]]&gt;0,YEAR(tb_rechnungen[[#This Row],[Re-Datum]]),"")</f>
        <v/>
      </c>
      <c r="Q468" s="19">
        <f>IF(tb_rechnungen[[#This Row],[Brutto]]&lt;&gt;0,tb_rechnungen[[#This Row],[Brutto]]-tb_rechnungen[[#This Row],[Netto]],"")</f>
        <v/>
      </c>
      <c r="R468" s="37">
        <f>IF(tb_rechnungen[[#This Row],[Netto]]&lt;&gt;0,ROUND(tb_rechnungen[[#This Row],[Steuer]]/tb_rechnungen[[#This Row],[Netto]],2),"")</f>
        <v/>
      </c>
    </row>
    <row r="469">
      <c r="A469" s="26" t="n"/>
      <c r="B469" s="27" t="n"/>
      <c r="C469" s="28" t="n"/>
      <c r="D469" s="28" t="n"/>
      <c r="E469" s="27" t="n"/>
      <c r="F469" s="29" t="n"/>
      <c r="G469" s="29" t="n"/>
      <c r="H469" s="30" t="n"/>
      <c r="I469" s="30" t="n"/>
      <c r="J469" s="30" t="n"/>
      <c r="K469" s="50" t="n"/>
      <c r="L469" s="50" t="n"/>
      <c r="M469" s="67" t="n"/>
      <c r="N469" s="30" t="n"/>
      <c r="O469" s="12">
        <f>IF(tb_rechnungen[[#This Row],[Re-Datum]]&gt;0,MONTH(tb_rechnungen[[#This Row],[Re-Datum]]),"")</f>
        <v/>
      </c>
      <c r="P469" s="13">
        <f>IF(tb_rechnungen[[#This Row],[Re-Datum]]&gt;0,YEAR(tb_rechnungen[[#This Row],[Re-Datum]]),"")</f>
        <v/>
      </c>
      <c r="Q469" s="19">
        <f>IF(tb_rechnungen[[#This Row],[Brutto]]&lt;&gt;0,tb_rechnungen[[#This Row],[Brutto]]-tb_rechnungen[[#This Row],[Netto]],"")</f>
        <v/>
      </c>
      <c r="R469" s="37">
        <f>IF(tb_rechnungen[[#This Row],[Netto]]&lt;&gt;0,ROUND(tb_rechnungen[[#This Row],[Steuer]]/tb_rechnungen[[#This Row],[Netto]],2),"")</f>
        <v/>
      </c>
    </row>
    <row r="470">
      <c r="A470" s="26" t="n"/>
      <c r="B470" s="27" t="n"/>
      <c r="C470" s="28" t="n"/>
      <c r="D470" s="28" t="n"/>
      <c r="E470" s="27" t="n"/>
      <c r="F470" s="29" t="n"/>
      <c r="G470" s="29" t="n"/>
      <c r="H470" s="30" t="n"/>
      <c r="I470" s="30" t="n"/>
      <c r="J470" s="30" t="n"/>
      <c r="K470" s="50" t="n"/>
      <c r="L470" s="50" t="n"/>
      <c r="M470" s="67" t="n"/>
      <c r="N470" s="30" t="n"/>
      <c r="O470" s="12">
        <f>IF(tb_rechnungen[[#This Row],[Re-Datum]]&gt;0,MONTH(tb_rechnungen[[#This Row],[Re-Datum]]),"")</f>
        <v/>
      </c>
      <c r="P470" s="13">
        <f>IF(tb_rechnungen[[#This Row],[Re-Datum]]&gt;0,YEAR(tb_rechnungen[[#This Row],[Re-Datum]]),"")</f>
        <v/>
      </c>
      <c r="Q470" s="19">
        <f>IF(tb_rechnungen[[#This Row],[Brutto]]&lt;&gt;0,tb_rechnungen[[#This Row],[Brutto]]-tb_rechnungen[[#This Row],[Netto]],"")</f>
        <v/>
      </c>
      <c r="R470" s="37">
        <f>IF(tb_rechnungen[[#This Row],[Netto]]&lt;&gt;0,ROUND(tb_rechnungen[[#This Row],[Steuer]]/tb_rechnungen[[#This Row],[Netto]],2),"")</f>
        <v/>
      </c>
    </row>
    <row r="471">
      <c r="A471" s="26" t="n"/>
      <c r="B471" s="27" t="n"/>
      <c r="C471" s="28" t="n"/>
      <c r="D471" s="28" t="n"/>
      <c r="E471" s="27" t="n"/>
      <c r="F471" s="29" t="n"/>
      <c r="G471" s="29" t="n"/>
      <c r="H471" s="30" t="n"/>
      <c r="I471" s="30" t="n"/>
      <c r="J471" s="30" t="n"/>
      <c r="K471" s="50" t="n"/>
      <c r="L471" s="50" t="n"/>
      <c r="M471" s="67" t="n"/>
      <c r="N471" s="30" t="n"/>
      <c r="O471" s="12">
        <f>IF(tb_rechnungen[[#This Row],[Re-Datum]]&gt;0,MONTH(tb_rechnungen[[#This Row],[Re-Datum]]),"")</f>
        <v/>
      </c>
      <c r="P471" s="13">
        <f>IF(tb_rechnungen[[#This Row],[Re-Datum]]&gt;0,YEAR(tb_rechnungen[[#This Row],[Re-Datum]]),"")</f>
        <v/>
      </c>
      <c r="Q471" s="19">
        <f>IF(tb_rechnungen[[#This Row],[Brutto]]&lt;&gt;0,tb_rechnungen[[#This Row],[Brutto]]-tb_rechnungen[[#This Row],[Netto]],"")</f>
        <v/>
      </c>
      <c r="R471" s="37">
        <f>IF(tb_rechnungen[[#This Row],[Netto]]&lt;&gt;0,ROUND(tb_rechnungen[[#This Row],[Steuer]]/tb_rechnungen[[#This Row],[Netto]],2),"")</f>
        <v/>
      </c>
    </row>
    <row r="472">
      <c r="A472" s="26" t="n"/>
      <c r="B472" s="27" t="n"/>
      <c r="C472" s="28" t="n"/>
      <c r="D472" s="28" t="n"/>
      <c r="E472" s="27" t="n"/>
      <c r="F472" s="29" t="n"/>
      <c r="G472" s="29" t="n"/>
      <c r="H472" s="30" t="n"/>
      <c r="I472" s="30" t="n"/>
      <c r="J472" s="30" t="n"/>
      <c r="K472" s="50" t="n"/>
      <c r="L472" s="50" t="n"/>
      <c r="M472" s="67" t="n"/>
      <c r="N472" s="30" t="n"/>
      <c r="O472" s="12">
        <f>IF(tb_rechnungen[[#This Row],[Re-Datum]]&gt;0,MONTH(tb_rechnungen[[#This Row],[Re-Datum]]),"")</f>
        <v/>
      </c>
      <c r="P472" s="13">
        <f>IF(tb_rechnungen[[#This Row],[Re-Datum]]&gt;0,YEAR(tb_rechnungen[[#This Row],[Re-Datum]]),"")</f>
        <v/>
      </c>
      <c r="Q472" s="19">
        <f>IF(tb_rechnungen[[#This Row],[Brutto]]&lt;&gt;0,tb_rechnungen[[#This Row],[Brutto]]-tb_rechnungen[[#This Row],[Netto]],"")</f>
        <v/>
      </c>
      <c r="R472" s="37">
        <f>IF(tb_rechnungen[[#This Row],[Netto]]&lt;&gt;0,ROUND(tb_rechnungen[[#This Row],[Steuer]]/tb_rechnungen[[#This Row],[Netto]],2),"")</f>
        <v/>
      </c>
    </row>
    <row r="473">
      <c r="A473" s="26" t="n"/>
      <c r="B473" s="27" t="n"/>
      <c r="C473" s="28" t="n"/>
      <c r="D473" s="28" t="n"/>
      <c r="E473" s="27" t="n"/>
      <c r="F473" s="29" t="n"/>
      <c r="G473" s="29" t="n"/>
      <c r="H473" s="30" t="n"/>
      <c r="I473" s="30" t="n"/>
      <c r="J473" s="30" t="n"/>
      <c r="K473" s="50" t="n"/>
      <c r="L473" s="50" t="n"/>
      <c r="M473" s="67" t="n"/>
      <c r="N473" s="30" t="n"/>
      <c r="O473" s="12">
        <f>IF(tb_rechnungen[[#This Row],[Re-Datum]]&gt;0,MONTH(tb_rechnungen[[#This Row],[Re-Datum]]),"")</f>
        <v/>
      </c>
      <c r="P473" s="13">
        <f>IF(tb_rechnungen[[#This Row],[Re-Datum]]&gt;0,YEAR(tb_rechnungen[[#This Row],[Re-Datum]]),"")</f>
        <v/>
      </c>
      <c r="Q473" s="19">
        <f>IF(tb_rechnungen[[#This Row],[Brutto]]&lt;&gt;0,tb_rechnungen[[#This Row],[Brutto]]-tb_rechnungen[[#This Row],[Netto]],"")</f>
        <v/>
      </c>
      <c r="R473" s="37">
        <f>IF(tb_rechnungen[[#This Row],[Netto]]&lt;&gt;0,ROUND(tb_rechnungen[[#This Row],[Steuer]]/tb_rechnungen[[#This Row],[Netto]],2),"")</f>
        <v/>
      </c>
    </row>
    <row r="474">
      <c r="A474" s="26" t="n"/>
      <c r="B474" s="27" t="n"/>
      <c r="C474" s="28" t="n"/>
      <c r="D474" s="28" t="n"/>
      <c r="E474" s="27" t="n"/>
      <c r="F474" s="29" t="n"/>
      <c r="G474" s="29" t="n"/>
      <c r="H474" s="30" t="n"/>
      <c r="I474" s="30" t="n"/>
      <c r="J474" s="30" t="n"/>
      <c r="K474" s="50" t="n"/>
      <c r="L474" s="50" t="n"/>
      <c r="M474" s="67" t="n"/>
      <c r="N474" s="30" t="n"/>
      <c r="O474" s="12">
        <f>IF(tb_rechnungen[[#This Row],[Re-Datum]]&gt;0,MONTH(tb_rechnungen[[#This Row],[Re-Datum]]),"")</f>
        <v/>
      </c>
      <c r="P474" s="13">
        <f>IF(tb_rechnungen[[#This Row],[Re-Datum]]&gt;0,YEAR(tb_rechnungen[[#This Row],[Re-Datum]]),"")</f>
        <v/>
      </c>
      <c r="Q474" s="19">
        <f>IF(tb_rechnungen[[#This Row],[Brutto]]&lt;&gt;0,tb_rechnungen[[#This Row],[Brutto]]-tb_rechnungen[[#This Row],[Netto]],"")</f>
        <v/>
      </c>
      <c r="R474" s="37">
        <f>IF(tb_rechnungen[[#This Row],[Netto]]&lt;&gt;0,ROUND(tb_rechnungen[[#This Row],[Steuer]]/tb_rechnungen[[#This Row],[Netto]],2),"")</f>
        <v/>
      </c>
    </row>
    <row r="475">
      <c r="A475" s="26" t="n"/>
      <c r="B475" s="27" t="n"/>
      <c r="C475" s="28" t="n"/>
      <c r="D475" s="28" t="n"/>
      <c r="E475" s="27" t="n"/>
      <c r="F475" s="29" t="n"/>
      <c r="G475" s="29" t="n"/>
      <c r="H475" s="30" t="n"/>
      <c r="I475" s="30" t="n"/>
      <c r="J475" s="30" t="n"/>
      <c r="K475" s="50" t="n"/>
      <c r="L475" s="50" t="n"/>
      <c r="M475" s="67" t="n"/>
      <c r="N475" s="30" t="n"/>
      <c r="O475" s="12">
        <f>IF(tb_rechnungen[[#This Row],[Re-Datum]]&gt;0,MONTH(tb_rechnungen[[#This Row],[Re-Datum]]),"")</f>
        <v/>
      </c>
      <c r="P475" s="13">
        <f>IF(tb_rechnungen[[#This Row],[Re-Datum]]&gt;0,YEAR(tb_rechnungen[[#This Row],[Re-Datum]]),"")</f>
        <v/>
      </c>
      <c r="Q475" s="19">
        <f>IF(tb_rechnungen[[#This Row],[Brutto]]&lt;&gt;0,tb_rechnungen[[#This Row],[Brutto]]-tb_rechnungen[[#This Row],[Netto]],"")</f>
        <v/>
      </c>
      <c r="R475" s="37">
        <f>IF(tb_rechnungen[[#This Row],[Netto]]&lt;&gt;0,ROUND(tb_rechnungen[[#This Row],[Steuer]]/tb_rechnungen[[#This Row],[Netto]],2),"")</f>
        <v/>
      </c>
    </row>
    <row r="476">
      <c r="A476" s="26" t="n"/>
      <c r="B476" s="27" t="n"/>
      <c r="C476" s="28" t="n"/>
      <c r="D476" s="28" t="n"/>
      <c r="E476" s="27" t="n"/>
      <c r="F476" s="29" t="n"/>
      <c r="G476" s="29" t="n"/>
      <c r="H476" s="30" t="n"/>
      <c r="I476" s="30" t="n"/>
      <c r="J476" s="30" t="n"/>
      <c r="K476" s="50" t="n"/>
      <c r="L476" s="50" t="n"/>
      <c r="M476" s="67" t="n"/>
      <c r="N476" s="30" t="n"/>
      <c r="O476" s="12">
        <f>IF(tb_rechnungen[[#This Row],[Re-Datum]]&gt;0,MONTH(tb_rechnungen[[#This Row],[Re-Datum]]),"")</f>
        <v/>
      </c>
      <c r="P476" s="13">
        <f>IF(tb_rechnungen[[#This Row],[Re-Datum]]&gt;0,YEAR(tb_rechnungen[[#This Row],[Re-Datum]]),"")</f>
        <v/>
      </c>
      <c r="Q476" s="19">
        <f>IF(tb_rechnungen[[#This Row],[Brutto]]&lt;&gt;0,tb_rechnungen[[#This Row],[Brutto]]-tb_rechnungen[[#This Row],[Netto]],"")</f>
        <v/>
      </c>
      <c r="R476" s="37">
        <f>IF(tb_rechnungen[[#This Row],[Netto]]&lt;&gt;0,ROUND(tb_rechnungen[[#This Row],[Steuer]]/tb_rechnungen[[#This Row],[Netto]],2),"")</f>
        <v/>
      </c>
    </row>
    <row r="477">
      <c r="A477" s="26" t="n"/>
      <c r="B477" s="27" t="n"/>
      <c r="C477" s="28" t="n"/>
      <c r="D477" s="28" t="n"/>
      <c r="E477" s="27" t="n"/>
      <c r="F477" s="29" t="n"/>
      <c r="G477" s="29" t="n"/>
      <c r="H477" s="30" t="n"/>
      <c r="I477" s="30" t="n"/>
      <c r="J477" s="30" t="n"/>
      <c r="K477" s="50" t="n"/>
      <c r="L477" s="50" t="n"/>
      <c r="M477" s="67" t="n"/>
      <c r="N477" s="30" t="n"/>
      <c r="O477" s="12">
        <f>IF(tb_rechnungen[[#This Row],[Re-Datum]]&gt;0,MONTH(tb_rechnungen[[#This Row],[Re-Datum]]),"")</f>
        <v/>
      </c>
      <c r="P477" s="13">
        <f>IF(tb_rechnungen[[#This Row],[Re-Datum]]&gt;0,YEAR(tb_rechnungen[[#This Row],[Re-Datum]]),"")</f>
        <v/>
      </c>
      <c r="Q477" s="19">
        <f>IF(tb_rechnungen[[#This Row],[Brutto]]&lt;&gt;0,tb_rechnungen[[#This Row],[Brutto]]-tb_rechnungen[[#This Row],[Netto]],"")</f>
        <v/>
      </c>
      <c r="R477" s="37">
        <f>IF(tb_rechnungen[[#This Row],[Netto]]&lt;&gt;0,ROUND(tb_rechnungen[[#This Row],[Steuer]]/tb_rechnungen[[#This Row],[Netto]],2),"")</f>
        <v/>
      </c>
    </row>
    <row r="478">
      <c r="A478" s="26" t="n"/>
      <c r="B478" s="27" t="n"/>
      <c r="C478" s="28" t="n"/>
      <c r="D478" s="28" t="n"/>
      <c r="E478" s="27" t="n"/>
      <c r="F478" s="29" t="n"/>
      <c r="G478" s="29" t="n"/>
      <c r="H478" s="30" t="n"/>
      <c r="I478" s="30" t="n"/>
      <c r="J478" s="30" t="n"/>
      <c r="K478" s="50" t="n"/>
      <c r="L478" s="50" t="n"/>
      <c r="M478" s="67" t="n"/>
      <c r="N478" s="30" t="n"/>
      <c r="O478" s="12">
        <f>IF(tb_rechnungen[[#This Row],[Re-Datum]]&gt;0,MONTH(tb_rechnungen[[#This Row],[Re-Datum]]),"")</f>
        <v/>
      </c>
      <c r="P478" s="13">
        <f>IF(tb_rechnungen[[#This Row],[Re-Datum]]&gt;0,YEAR(tb_rechnungen[[#This Row],[Re-Datum]]),"")</f>
        <v/>
      </c>
      <c r="Q478" s="19">
        <f>IF(tb_rechnungen[[#This Row],[Brutto]]&lt;&gt;0,tb_rechnungen[[#This Row],[Brutto]]-tb_rechnungen[[#This Row],[Netto]],"")</f>
        <v/>
      </c>
      <c r="R478" s="37">
        <f>IF(tb_rechnungen[[#This Row],[Netto]]&lt;&gt;0,ROUND(tb_rechnungen[[#This Row],[Steuer]]/tb_rechnungen[[#This Row],[Netto]],2),"")</f>
        <v/>
      </c>
    </row>
    <row r="479">
      <c r="A479" s="26" t="n"/>
      <c r="B479" s="27" t="n"/>
      <c r="C479" s="28" t="n"/>
      <c r="D479" s="28" t="n"/>
      <c r="E479" s="27" t="n"/>
      <c r="F479" s="29" t="n"/>
      <c r="G479" s="29" t="n"/>
      <c r="H479" s="30" t="n"/>
      <c r="I479" s="30" t="n"/>
      <c r="J479" s="30" t="n"/>
      <c r="K479" s="50" t="n"/>
      <c r="L479" s="50" t="n"/>
      <c r="M479" s="67" t="n"/>
      <c r="N479" s="30" t="n"/>
      <c r="O479" s="12">
        <f>IF(tb_rechnungen[[#This Row],[Re-Datum]]&gt;0,MONTH(tb_rechnungen[[#This Row],[Re-Datum]]),"")</f>
        <v/>
      </c>
      <c r="P479" s="13">
        <f>IF(tb_rechnungen[[#This Row],[Re-Datum]]&gt;0,YEAR(tb_rechnungen[[#This Row],[Re-Datum]]),"")</f>
        <v/>
      </c>
      <c r="Q479" s="19">
        <f>IF(tb_rechnungen[[#This Row],[Brutto]]&lt;&gt;0,tb_rechnungen[[#This Row],[Brutto]]-tb_rechnungen[[#This Row],[Netto]],"")</f>
        <v/>
      </c>
      <c r="R479" s="37">
        <f>IF(tb_rechnungen[[#This Row],[Netto]]&lt;&gt;0,ROUND(tb_rechnungen[[#This Row],[Steuer]]/tb_rechnungen[[#This Row],[Netto]],2),"")</f>
        <v/>
      </c>
    </row>
    <row r="480">
      <c r="A480" s="26" t="n"/>
      <c r="B480" s="27" t="n"/>
      <c r="C480" s="28" t="n"/>
      <c r="D480" s="28" t="n"/>
      <c r="E480" s="27" t="n"/>
      <c r="F480" s="29" t="n"/>
      <c r="G480" s="29" t="n"/>
      <c r="H480" s="30" t="n"/>
      <c r="I480" s="30" t="n"/>
      <c r="J480" s="30" t="n"/>
      <c r="K480" s="50" t="n"/>
      <c r="L480" s="50" t="n"/>
      <c r="M480" s="67" t="n"/>
      <c r="N480" s="30" t="n"/>
      <c r="O480" s="12">
        <f>IF(tb_rechnungen[[#This Row],[Re-Datum]]&gt;0,MONTH(tb_rechnungen[[#This Row],[Re-Datum]]),"")</f>
        <v/>
      </c>
      <c r="P480" s="13">
        <f>IF(tb_rechnungen[[#This Row],[Re-Datum]]&gt;0,YEAR(tb_rechnungen[[#This Row],[Re-Datum]]),"")</f>
        <v/>
      </c>
      <c r="Q480" s="19">
        <f>IF(tb_rechnungen[[#This Row],[Brutto]]&lt;&gt;0,tb_rechnungen[[#This Row],[Brutto]]-tb_rechnungen[[#This Row],[Netto]],"")</f>
        <v/>
      </c>
      <c r="R480" s="37">
        <f>IF(tb_rechnungen[[#This Row],[Netto]]&lt;&gt;0,ROUND(tb_rechnungen[[#This Row],[Steuer]]/tb_rechnungen[[#This Row],[Netto]],2),"")</f>
        <v/>
      </c>
    </row>
    <row r="481">
      <c r="A481" s="26" t="n"/>
      <c r="B481" s="27" t="n"/>
      <c r="C481" s="28" t="n"/>
      <c r="D481" s="28" t="n"/>
      <c r="E481" s="27" t="n"/>
      <c r="F481" s="29" t="n"/>
      <c r="G481" s="29" t="n"/>
      <c r="H481" s="30" t="n"/>
      <c r="I481" s="30" t="n"/>
      <c r="J481" s="30" t="n"/>
      <c r="K481" s="50" t="n"/>
      <c r="L481" s="50" t="n"/>
      <c r="M481" s="67" t="n"/>
      <c r="N481" s="30" t="n"/>
      <c r="O481" s="12">
        <f>IF(tb_rechnungen[[#This Row],[Re-Datum]]&gt;0,MONTH(tb_rechnungen[[#This Row],[Re-Datum]]),"")</f>
        <v/>
      </c>
      <c r="P481" s="13">
        <f>IF(tb_rechnungen[[#This Row],[Re-Datum]]&gt;0,YEAR(tb_rechnungen[[#This Row],[Re-Datum]]),"")</f>
        <v/>
      </c>
      <c r="Q481" s="19">
        <f>IF(tb_rechnungen[[#This Row],[Brutto]]&lt;&gt;0,tb_rechnungen[[#This Row],[Brutto]]-tb_rechnungen[[#This Row],[Netto]],"")</f>
        <v/>
      </c>
      <c r="R481" s="37">
        <f>IF(tb_rechnungen[[#This Row],[Netto]]&lt;&gt;0,ROUND(tb_rechnungen[[#This Row],[Steuer]]/tb_rechnungen[[#This Row],[Netto]],2),"")</f>
        <v/>
      </c>
    </row>
    <row r="482">
      <c r="A482" s="26" t="n"/>
      <c r="B482" s="27" t="n"/>
      <c r="C482" s="28" t="n"/>
      <c r="D482" s="28" t="n"/>
      <c r="E482" s="27" t="n"/>
      <c r="F482" s="29" t="n"/>
      <c r="G482" s="29" t="n"/>
      <c r="H482" s="30" t="n"/>
      <c r="I482" s="30" t="n"/>
      <c r="J482" s="30" t="n"/>
      <c r="K482" s="50" t="n"/>
      <c r="L482" s="50" t="n"/>
      <c r="M482" s="67" t="n"/>
      <c r="N482" s="30" t="n"/>
      <c r="O482" s="12">
        <f>IF(tb_rechnungen[[#This Row],[Re-Datum]]&gt;0,MONTH(tb_rechnungen[[#This Row],[Re-Datum]]),"")</f>
        <v/>
      </c>
      <c r="P482" s="13">
        <f>IF(tb_rechnungen[[#This Row],[Re-Datum]]&gt;0,YEAR(tb_rechnungen[[#This Row],[Re-Datum]]),"")</f>
        <v/>
      </c>
      <c r="Q482" s="19">
        <f>IF(tb_rechnungen[[#This Row],[Brutto]]&lt;&gt;0,tb_rechnungen[[#This Row],[Brutto]]-tb_rechnungen[[#This Row],[Netto]],"")</f>
        <v/>
      </c>
      <c r="R482" s="37">
        <f>IF(tb_rechnungen[[#This Row],[Netto]]&lt;&gt;0,ROUND(tb_rechnungen[[#This Row],[Steuer]]/tb_rechnungen[[#This Row],[Netto]],2),"")</f>
        <v/>
      </c>
    </row>
    <row r="483">
      <c r="A483" s="26" t="n"/>
      <c r="B483" s="27" t="n"/>
      <c r="C483" s="28" t="n"/>
      <c r="D483" s="28" t="n"/>
      <c r="E483" s="27" t="n"/>
      <c r="F483" s="29" t="n"/>
      <c r="G483" s="29" t="n"/>
      <c r="H483" s="30" t="n"/>
      <c r="I483" s="30" t="n"/>
      <c r="J483" s="30" t="n"/>
      <c r="K483" s="50" t="n"/>
      <c r="L483" s="50" t="n"/>
      <c r="M483" s="67" t="n"/>
      <c r="N483" s="30" t="n"/>
      <c r="O483" s="12">
        <f>IF(tb_rechnungen[[#This Row],[Re-Datum]]&gt;0,MONTH(tb_rechnungen[[#This Row],[Re-Datum]]),"")</f>
        <v/>
      </c>
      <c r="P483" s="13">
        <f>IF(tb_rechnungen[[#This Row],[Re-Datum]]&gt;0,YEAR(tb_rechnungen[[#This Row],[Re-Datum]]),"")</f>
        <v/>
      </c>
      <c r="Q483" s="19">
        <f>IF(tb_rechnungen[[#This Row],[Brutto]]&lt;&gt;0,tb_rechnungen[[#This Row],[Brutto]]-tb_rechnungen[[#This Row],[Netto]],"")</f>
        <v/>
      </c>
      <c r="R483" s="37">
        <f>IF(tb_rechnungen[[#This Row],[Netto]]&lt;&gt;0,ROUND(tb_rechnungen[[#This Row],[Steuer]]/tb_rechnungen[[#This Row],[Netto]],2),"")</f>
        <v/>
      </c>
    </row>
    <row r="484">
      <c r="A484" s="26" t="n"/>
      <c r="B484" s="27" t="n"/>
      <c r="C484" s="28" t="n"/>
      <c r="D484" s="28" t="n"/>
      <c r="E484" s="27" t="n"/>
      <c r="F484" s="29" t="n"/>
      <c r="G484" s="29" t="n"/>
      <c r="H484" s="30" t="n"/>
      <c r="I484" s="30" t="n"/>
      <c r="J484" s="30" t="n"/>
      <c r="K484" s="50" t="n"/>
      <c r="L484" s="50" t="n"/>
      <c r="M484" s="67" t="n"/>
      <c r="N484" s="30" t="n"/>
      <c r="O484" s="12">
        <f>IF(tb_rechnungen[[#This Row],[Re-Datum]]&gt;0,MONTH(tb_rechnungen[[#This Row],[Re-Datum]]),"")</f>
        <v/>
      </c>
      <c r="P484" s="13">
        <f>IF(tb_rechnungen[[#This Row],[Re-Datum]]&gt;0,YEAR(tb_rechnungen[[#This Row],[Re-Datum]]),"")</f>
        <v/>
      </c>
      <c r="Q484" s="19">
        <f>IF(tb_rechnungen[[#This Row],[Brutto]]&lt;&gt;0,tb_rechnungen[[#This Row],[Brutto]]-tb_rechnungen[[#This Row],[Netto]],"")</f>
        <v/>
      </c>
      <c r="R484" s="37">
        <f>IF(tb_rechnungen[[#This Row],[Netto]]&lt;&gt;0,ROUND(tb_rechnungen[[#This Row],[Steuer]]/tb_rechnungen[[#This Row],[Netto]],2),"")</f>
        <v/>
      </c>
    </row>
    <row r="485">
      <c r="A485" s="26" t="n"/>
      <c r="B485" s="27" t="n"/>
      <c r="C485" s="28" t="n"/>
      <c r="D485" s="28" t="n"/>
      <c r="E485" s="27" t="n"/>
      <c r="F485" s="29" t="n"/>
      <c r="G485" s="29" t="n"/>
      <c r="H485" s="30" t="n"/>
      <c r="I485" s="30" t="n"/>
      <c r="J485" s="30" t="n"/>
      <c r="K485" s="50" t="n"/>
      <c r="L485" s="50" t="n"/>
      <c r="M485" s="67" t="n"/>
      <c r="N485" s="30" t="n"/>
      <c r="O485" s="12">
        <f>IF(tb_rechnungen[[#This Row],[Re-Datum]]&gt;0,MONTH(tb_rechnungen[[#This Row],[Re-Datum]]),"")</f>
        <v/>
      </c>
      <c r="P485" s="13">
        <f>IF(tb_rechnungen[[#This Row],[Re-Datum]]&gt;0,YEAR(tb_rechnungen[[#This Row],[Re-Datum]]),"")</f>
        <v/>
      </c>
      <c r="Q485" s="19">
        <f>IF(tb_rechnungen[[#This Row],[Brutto]]&lt;&gt;0,tb_rechnungen[[#This Row],[Brutto]]-tb_rechnungen[[#This Row],[Netto]],"")</f>
        <v/>
      </c>
      <c r="R485" s="37">
        <f>IF(tb_rechnungen[[#This Row],[Netto]]&lt;&gt;0,ROUND(tb_rechnungen[[#This Row],[Steuer]]/tb_rechnungen[[#This Row],[Netto]],2),"")</f>
        <v/>
      </c>
    </row>
    <row r="486">
      <c r="A486" s="26" t="n"/>
      <c r="B486" s="27" t="n"/>
      <c r="C486" s="28" t="n"/>
      <c r="D486" s="28" t="n"/>
      <c r="E486" s="27" t="n"/>
      <c r="F486" s="29" t="n"/>
      <c r="G486" s="29" t="n"/>
      <c r="H486" s="30" t="n"/>
      <c r="I486" s="30" t="n"/>
      <c r="J486" s="30" t="n"/>
      <c r="K486" s="50" t="n"/>
      <c r="L486" s="50" t="n"/>
      <c r="M486" s="67" t="n"/>
      <c r="N486" s="30" t="n"/>
      <c r="O486" s="12">
        <f>IF(tb_rechnungen[[#This Row],[Re-Datum]]&gt;0,MONTH(tb_rechnungen[[#This Row],[Re-Datum]]),"")</f>
        <v/>
      </c>
      <c r="P486" s="13">
        <f>IF(tb_rechnungen[[#This Row],[Re-Datum]]&gt;0,YEAR(tb_rechnungen[[#This Row],[Re-Datum]]),"")</f>
        <v/>
      </c>
      <c r="Q486" s="19">
        <f>IF(tb_rechnungen[[#This Row],[Brutto]]&lt;&gt;0,tb_rechnungen[[#This Row],[Brutto]]-tb_rechnungen[[#This Row],[Netto]],"")</f>
        <v/>
      </c>
      <c r="R486" s="37">
        <f>IF(tb_rechnungen[[#This Row],[Netto]]&lt;&gt;0,ROUND(tb_rechnungen[[#This Row],[Steuer]]/tb_rechnungen[[#This Row],[Netto]],2),"")</f>
        <v/>
      </c>
    </row>
    <row r="487">
      <c r="A487" s="26" t="n"/>
      <c r="B487" s="27" t="n"/>
      <c r="C487" s="28" t="n"/>
      <c r="D487" s="28" t="n"/>
      <c r="E487" s="27" t="n"/>
      <c r="F487" s="29" t="n"/>
      <c r="G487" s="29" t="n"/>
      <c r="H487" s="30" t="n"/>
      <c r="I487" s="30" t="n"/>
      <c r="J487" s="30" t="n"/>
      <c r="K487" s="50" t="n"/>
      <c r="L487" s="50" t="n"/>
      <c r="M487" s="67" t="n"/>
      <c r="N487" s="30" t="n"/>
      <c r="O487" s="12">
        <f>IF(tb_rechnungen[[#This Row],[Re-Datum]]&gt;0,MONTH(tb_rechnungen[[#This Row],[Re-Datum]]),"")</f>
        <v/>
      </c>
      <c r="P487" s="13">
        <f>IF(tb_rechnungen[[#This Row],[Re-Datum]]&gt;0,YEAR(tb_rechnungen[[#This Row],[Re-Datum]]),"")</f>
        <v/>
      </c>
      <c r="Q487" s="19">
        <f>IF(tb_rechnungen[[#This Row],[Brutto]]&lt;&gt;0,tb_rechnungen[[#This Row],[Brutto]]-tb_rechnungen[[#This Row],[Netto]],"")</f>
        <v/>
      </c>
      <c r="R487" s="37">
        <f>IF(tb_rechnungen[[#This Row],[Netto]]&lt;&gt;0,ROUND(tb_rechnungen[[#This Row],[Steuer]]/tb_rechnungen[[#This Row],[Netto]],2),"")</f>
        <v/>
      </c>
    </row>
    <row r="488">
      <c r="A488" s="26" t="n"/>
      <c r="B488" s="27" t="n"/>
      <c r="C488" s="28" t="n"/>
      <c r="D488" s="28" t="n"/>
      <c r="E488" s="27" t="n"/>
      <c r="F488" s="29" t="n"/>
      <c r="G488" s="29" t="n"/>
      <c r="H488" s="30" t="n"/>
      <c r="I488" s="30" t="n"/>
      <c r="J488" s="30" t="n"/>
      <c r="K488" s="50" t="n"/>
      <c r="L488" s="50" t="n"/>
      <c r="M488" s="67" t="n"/>
      <c r="N488" s="30" t="n"/>
      <c r="O488" s="12">
        <f>IF(tb_rechnungen[[#This Row],[Re-Datum]]&gt;0,MONTH(tb_rechnungen[[#This Row],[Re-Datum]]),"")</f>
        <v/>
      </c>
      <c r="P488" s="13">
        <f>IF(tb_rechnungen[[#This Row],[Re-Datum]]&gt;0,YEAR(tb_rechnungen[[#This Row],[Re-Datum]]),"")</f>
        <v/>
      </c>
      <c r="Q488" s="19">
        <f>IF(tb_rechnungen[[#This Row],[Brutto]]&lt;&gt;0,tb_rechnungen[[#This Row],[Brutto]]-tb_rechnungen[[#This Row],[Netto]],"")</f>
        <v/>
      </c>
      <c r="R488" s="37">
        <f>IF(tb_rechnungen[[#This Row],[Netto]]&lt;&gt;0,ROUND(tb_rechnungen[[#This Row],[Steuer]]/tb_rechnungen[[#This Row],[Netto]],2),"")</f>
        <v/>
      </c>
    </row>
    <row r="489">
      <c r="A489" s="26" t="n"/>
      <c r="B489" s="27" t="n"/>
      <c r="C489" s="28" t="n"/>
      <c r="D489" s="28" t="n"/>
      <c r="E489" s="27" t="n"/>
      <c r="F489" s="29" t="n"/>
      <c r="G489" s="29" t="n"/>
      <c r="H489" s="30" t="n"/>
      <c r="I489" s="30" t="n"/>
      <c r="J489" s="30" t="n"/>
      <c r="K489" s="50" t="n"/>
      <c r="L489" s="50" t="n"/>
      <c r="M489" s="67" t="n"/>
      <c r="N489" s="30" t="n"/>
      <c r="O489" s="12">
        <f>IF(tb_rechnungen[[#This Row],[Re-Datum]]&gt;0,MONTH(tb_rechnungen[[#This Row],[Re-Datum]]),"")</f>
        <v/>
      </c>
      <c r="P489" s="13">
        <f>IF(tb_rechnungen[[#This Row],[Re-Datum]]&gt;0,YEAR(tb_rechnungen[[#This Row],[Re-Datum]]),"")</f>
        <v/>
      </c>
      <c r="Q489" s="19">
        <f>IF(tb_rechnungen[[#This Row],[Brutto]]&lt;&gt;0,tb_rechnungen[[#This Row],[Brutto]]-tb_rechnungen[[#This Row],[Netto]],"")</f>
        <v/>
      </c>
      <c r="R489" s="37">
        <f>IF(tb_rechnungen[[#This Row],[Netto]]&lt;&gt;0,ROUND(tb_rechnungen[[#This Row],[Steuer]]/tb_rechnungen[[#This Row],[Netto]],2),"")</f>
        <v/>
      </c>
    </row>
    <row r="490">
      <c r="A490" s="26" t="n"/>
      <c r="B490" s="27" t="n"/>
      <c r="C490" s="28" t="n"/>
      <c r="D490" s="28" t="n"/>
      <c r="E490" s="27" t="n"/>
      <c r="F490" s="29" t="n"/>
      <c r="G490" s="29" t="n"/>
      <c r="H490" s="30" t="n"/>
      <c r="I490" s="30" t="n"/>
      <c r="J490" s="30" t="n"/>
      <c r="K490" s="50" t="n"/>
      <c r="L490" s="50" t="n"/>
      <c r="M490" s="67" t="n"/>
      <c r="N490" s="30" t="n"/>
      <c r="O490" s="12">
        <f>IF(tb_rechnungen[[#This Row],[Re-Datum]]&gt;0,MONTH(tb_rechnungen[[#This Row],[Re-Datum]]),"")</f>
        <v/>
      </c>
      <c r="P490" s="13">
        <f>IF(tb_rechnungen[[#This Row],[Re-Datum]]&gt;0,YEAR(tb_rechnungen[[#This Row],[Re-Datum]]),"")</f>
        <v/>
      </c>
      <c r="Q490" s="19">
        <f>IF(tb_rechnungen[[#This Row],[Brutto]]&lt;&gt;0,tb_rechnungen[[#This Row],[Brutto]]-tb_rechnungen[[#This Row],[Netto]],"")</f>
        <v/>
      </c>
      <c r="R490" s="37">
        <f>IF(tb_rechnungen[[#This Row],[Netto]]&lt;&gt;0,ROUND(tb_rechnungen[[#This Row],[Steuer]]/tb_rechnungen[[#This Row],[Netto]],2),"")</f>
        <v/>
      </c>
    </row>
    <row r="491">
      <c r="A491" s="26" t="n"/>
      <c r="B491" s="27" t="n"/>
      <c r="C491" s="28" t="n"/>
      <c r="D491" s="28" t="n"/>
      <c r="E491" s="27" t="n"/>
      <c r="F491" s="29" t="n"/>
      <c r="G491" s="29" t="n"/>
      <c r="H491" s="30" t="n"/>
      <c r="I491" s="30" t="n"/>
      <c r="J491" s="30" t="n"/>
      <c r="K491" s="50" t="n"/>
      <c r="L491" s="50" t="n"/>
      <c r="M491" s="67" t="n"/>
      <c r="N491" s="30" t="n"/>
      <c r="O491" s="12">
        <f>IF(tb_rechnungen[[#This Row],[Re-Datum]]&gt;0,MONTH(tb_rechnungen[[#This Row],[Re-Datum]]),"")</f>
        <v/>
      </c>
      <c r="P491" s="13">
        <f>IF(tb_rechnungen[[#This Row],[Re-Datum]]&gt;0,YEAR(tb_rechnungen[[#This Row],[Re-Datum]]),"")</f>
        <v/>
      </c>
      <c r="Q491" s="19">
        <f>IF(tb_rechnungen[[#This Row],[Brutto]]&lt;&gt;0,tb_rechnungen[[#This Row],[Brutto]]-tb_rechnungen[[#This Row],[Netto]],"")</f>
        <v/>
      </c>
      <c r="R491" s="37">
        <f>IF(tb_rechnungen[[#This Row],[Netto]]&lt;&gt;0,ROUND(tb_rechnungen[[#This Row],[Steuer]]/tb_rechnungen[[#This Row],[Netto]],2),"")</f>
        <v/>
      </c>
    </row>
    <row r="492">
      <c r="A492" s="26" t="n"/>
      <c r="B492" s="27" t="n"/>
      <c r="C492" s="28" t="n"/>
      <c r="D492" s="28" t="n"/>
      <c r="E492" s="27" t="n"/>
      <c r="F492" s="29" t="n"/>
      <c r="G492" s="29" t="n"/>
      <c r="H492" s="30" t="n"/>
      <c r="I492" s="30" t="n"/>
      <c r="J492" s="30" t="n"/>
      <c r="K492" s="50" t="n"/>
      <c r="L492" s="50" t="n"/>
      <c r="M492" s="67" t="n"/>
      <c r="N492" s="30" t="n"/>
      <c r="O492" s="12">
        <f>IF(tb_rechnungen[[#This Row],[Re-Datum]]&gt;0,MONTH(tb_rechnungen[[#This Row],[Re-Datum]]),"")</f>
        <v/>
      </c>
      <c r="P492" s="13">
        <f>IF(tb_rechnungen[[#This Row],[Re-Datum]]&gt;0,YEAR(tb_rechnungen[[#This Row],[Re-Datum]]),"")</f>
        <v/>
      </c>
      <c r="Q492" s="19">
        <f>IF(tb_rechnungen[[#This Row],[Brutto]]&lt;&gt;0,tb_rechnungen[[#This Row],[Brutto]]-tb_rechnungen[[#This Row],[Netto]],"")</f>
        <v/>
      </c>
      <c r="R492" s="37">
        <f>IF(tb_rechnungen[[#This Row],[Netto]]&lt;&gt;0,ROUND(tb_rechnungen[[#This Row],[Steuer]]/tb_rechnungen[[#This Row],[Netto]],2),"")</f>
        <v/>
      </c>
    </row>
    <row r="493">
      <c r="A493" s="26" t="n"/>
      <c r="B493" s="27" t="n"/>
      <c r="C493" s="28" t="n"/>
      <c r="D493" s="28" t="n"/>
      <c r="E493" s="27" t="n"/>
      <c r="F493" s="29" t="n"/>
      <c r="G493" s="29" t="n"/>
      <c r="H493" s="30" t="n"/>
      <c r="I493" s="30" t="n"/>
      <c r="J493" s="30" t="n"/>
      <c r="K493" s="50" t="n"/>
      <c r="L493" s="50" t="n"/>
      <c r="M493" s="67" t="n"/>
      <c r="N493" s="30" t="n"/>
      <c r="O493" s="12">
        <f>IF(tb_rechnungen[[#This Row],[Re-Datum]]&gt;0,MONTH(tb_rechnungen[[#This Row],[Re-Datum]]),"")</f>
        <v/>
      </c>
      <c r="P493" s="13">
        <f>IF(tb_rechnungen[[#This Row],[Re-Datum]]&gt;0,YEAR(tb_rechnungen[[#This Row],[Re-Datum]]),"")</f>
        <v/>
      </c>
      <c r="Q493" s="19">
        <f>IF(tb_rechnungen[[#This Row],[Brutto]]&lt;&gt;0,tb_rechnungen[[#This Row],[Brutto]]-tb_rechnungen[[#This Row],[Netto]],"")</f>
        <v/>
      </c>
      <c r="R493" s="37">
        <f>IF(tb_rechnungen[[#This Row],[Netto]]&lt;&gt;0,ROUND(tb_rechnungen[[#This Row],[Steuer]]/tb_rechnungen[[#This Row],[Netto]],2),"")</f>
        <v/>
      </c>
    </row>
    <row r="494">
      <c r="A494" s="26" t="n"/>
      <c r="B494" s="27" t="n"/>
      <c r="C494" s="28" t="n"/>
      <c r="D494" s="28" t="n"/>
      <c r="E494" s="27" t="n"/>
      <c r="F494" s="29" t="n"/>
      <c r="G494" s="29" t="n"/>
      <c r="H494" s="30" t="n"/>
      <c r="I494" s="30" t="n"/>
      <c r="J494" s="30" t="n"/>
      <c r="K494" s="50" t="n"/>
      <c r="L494" s="50" t="n"/>
      <c r="M494" s="67" t="n"/>
      <c r="N494" s="30" t="n"/>
      <c r="O494" s="12">
        <f>IF(tb_rechnungen[[#This Row],[Re-Datum]]&gt;0,MONTH(tb_rechnungen[[#This Row],[Re-Datum]]),"")</f>
        <v/>
      </c>
      <c r="P494" s="13">
        <f>IF(tb_rechnungen[[#This Row],[Re-Datum]]&gt;0,YEAR(tb_rechnungen[[#This Row],[Re-Datum]]),"")</f>
        <v/>
      </c>
      <c r="Q494" s="19">
        <f>IF(tb_rechnungen[[#This Row],[Brutto]]&lt;&gt;0,tb_rechnungen[[#This Row],[Brutto]]-tb_rechnungen[[#This Row],[Netto]],"")</f>
        <v/>
      </c>
      <c r="R494" s="37">
        <f>IF(tb_rechnungen[[#This Row],[Netto]]&lt;&gt;0,ROUND(tb_rechnungen[[#This Row],[Steuer]]/tb_rechnungen[[#This Row],[Netto]],2),"")</f>
        <v/>
      </c>
    </row>
    <row r="495">
      <c r="A495" s="26" t="n"/>
      <c r="B495" s="27" t="n"/>
      <c r="C495" s="28" t="n"/>
      <c r="D495" s="28" t="n"/>
      <c r="E495" s="27" t="n"/>
      <c r="F495" s="29" t="n"/>
      <c r="G495" s="29" t="n"/>
      <c r="H495" s="30" t="n"/>
      <c r="I495" s="30" t="n"/>
      <c r="J495" s="30" t="n"/>
      <c r="K495" s="50" t="n"/>
      <c r="L495" s="50" t="n"/>
      <c r="M495" s="67" t="n"/>
      <c r="N495" s="30" t="n"/>
      <c r="O495" s="12">
        <f>IF(tb_rechnungen[[#This Row],[Re-Datum]]&gt;0,MONTH(tb_rechnungen[[#This Row],[Re-Datum]]),"")</f>
        <v/>
      </c>
      <c r="P495" s="13">
        <f>IF(tb_rechnungen[[#This Row],[Re-Datum]]&gt;0,YEAR(tb_rechnungen[[#This Row],[Re-Datum]]),"")</f>
        <v/>
      </c>
      <c r="Q495" s="19">
        <f>IF(tb_rechnungen[[#This Row],[Brutto]]&lt;&gt;0,tb_rechnungen[[#This Row],[Brutto]]-tb_rechnungen[[#This Row],[Netto]],"")</f>
        <v/>
      </c>
      <c r="R495" s="37">
        <f>IF(tb_rechnungen[[#This Row],[Netto]]&lt;&gt;0,ROUND(tb_rechnungen[[#This Row],[Steuer]]/tb_rechnungen[[#This Row],[Netto]],2),"")</f>
        <v/>
      </c>
    </row>
    <row r="496">
      <c r="A496" s="26" t="n"/>
      <c r="B496" s="27" t="n"/>
      <c r="C496" s="28" t="n"/>
      <c r="D496" s="28" t="n"/>
      <c r="E496" s="27" t="n"/>
      <c r="F496" s="29" t="n"/>
      <c r="G496" s="29" t="n"/>
      <c r="H496" s="30" t="n"/>
      <c r="I496" s="30" t="n"/>
      <c r="J496" s="30" t="n"/>
      <c r="K496" s="50" t="n"/>
      <c r="L496" s="50" t="n"/>
      <c r="M496" s="67" t="n"/>
      <c r="N496" s="30" t="n"/>
      <c r="O496" s="12">
        <f>IF(tb_rechnungen[[#This Row],[Re-Datum]]&gt;0,MONTH(tb_rechnungen[[#This Row],[Re-Datum]]),"")</f>
        <v/>
      </c>
      <c r="P496" s="13">
        <f>IF(tb_rechnungen[[#This Row],[Re-Datum]]&gt;0,YEAR(tb_rechnungen[[#This Row],[Re-Datum]]),"")</f>
        <v/>
      </c>
      <c r="Q496" s="19">
        <f>IF(tb_rechnungen[[#This Row],[Brutto]]&lt;&gt;0,tb_rechnungen[[#This Row],[Brutto]]-tb_rechnungen[[#This Row],[Netto]],"")</f>
        <v/>
      </c>
      <c r="R496" s="37">
        <f>IF(tb_rechnungen[[#This Row],[Netto]]&lt;&gt;0,ROUND(tb_rechnungen[[#This Row],[Steuer]]/tb_rechnungen[[#This Row],[Netto]],2),"")</f>
        <v/>
      </c>
    </row>
    <row r="497">
      <c r="A497" s="26" t="n"/>
      <c r="B497" s="27" t="n"/>
      <c r="C497" s="28" t="n"/>
      <c r="D497" s="28" t="n"/>
      <c r="E497" s="27" t="n"/>
      <c r="F497" s="29" t="n"/>
      <c r="G497" s="29" t="n"/>
      <c r="H497" s="30" t="n"/>
      <c r="I497" s="30" t="n"/>
      <c r="J497" s="30" t="n"/>
      <c r="K497" s="50" t="n"/>
      <c r="L497" s="50" t="n"/>
      <c r="M497" s="67" t="n"/>
      <c r="N497" s="30" t="n"/>
      <c r="O497" s="12">
        <f>IF(tb_rechnungen[[#This Row],[Re-Datum]]&gt;0,MONTH(tb_rechnungen[[#This Row],[Re-Datum]]),"")</f>
        <v/>
      </c>
      <c r="P497" s="13">
        <f>IF(tb_rechnungen[[#This Row],[Re-Datum]]&gt;0,YEAR(tb_rechnungen[[#This Row],[Re-Datum]]),"")</f>
        <v/>
      </c>
      <c r="Q497" s="19">
        <f>IF(tb_rechnungen[[#This Row],[Brutto]]&lt;&gt;0,tb_rechnungen[[#This Row],[Brutto]]-tb_rechnungen[[#This Row],[Netto]],"")</f>
        <v/>
      </c>
      <c r="R497" s="37">
        <f>IF(tb_rechnungen[[#This Row],[Netto]]&lt;&gt;0,ROUND(tb_rechnungen[[#This Row],[Steuer]]/tb_rechnungen[[#This Row],[Netto]],2),"")</f>
        <v/>
      </c>
    </row>
    <row r="498">
      <c r="A498" s="26" t="n"/>
      <c r="B498" s="27" t="n"/>
      <c r="C498" s="28" t="n"/>
      <c r="D498" s="28" t="n"/>
      <c r="E498" s="27" t="n"/>
      <c r="F498" s="29" t="n"/>
      <c r="G498" s="29" t="n"/>
      <c r="H498" s="30" t="n"/>
      <c r="I498" s="30" t="n"/>
      <c r="J498" s="30" t="n"/>
      <c r="K498" s="50" t="n"/>
      <c r="L498" s="50" t="n"/>
      <c r="M498" s="67" t="n"/>
      <c r="N498" s="30" t="n"/>
      <c r="O498" s="12">
        <f>IF(tb_rechnungen[[#This Row],[Re-Datum]]&gt;0,MONTH(tb_rechnungen[[#This Row],[Re-Datum]]),"")</f>
        <v/>
      </c>
      <c r="P498" s="13">
        <f>IF(tb_rechnungen[[#This Row],[Re-Datum]]&gt;0,YEAR(tb_rechnungen[[#This Row],[Re-Datum]]),"")</f>
        <v/>
      </c>
      <c r="Q498" s="19">
        <f>IF(tb_rechnungen[[#This Row],[Brutto]]&lt;&gt;0,tb_rechnungen[[#This Row],[Brutto]]-tb_rechnungen[[#This Row],[Netto]],"")</f>
        <v/>
      </c>
      <c r="R498" s="37">
        <f>IF(tb_rechnungen[[#This Row],[Netto]]&lt;&gt;0,ROUND(tb_rechnungen[[#This Row],[Steuer]]/tb_rechnungen[[#This Row],[Netto]],2),"")</f>
        <v/>
      </c>
    </row>
    <row r="499">
      <c r="A499" s="26" t="n"/>
      <c r="B499" s="27" t="n"/>
      <c r="C499" s="28" t="n"/>
      <c r="D499" s="28" t="n"/>
      <c r="E499" s="27" t="n"/>
      <c r="F499" s="29" t="n"/>
      <c r="G499" s="29" t="n"/>
      <c r="H499" s="30" t="n"/>
      <c r="I499" s="30" t="n"/>
      <c r="J499" s="30" t="n"/>
      <c r="K499" s="50" t="n"/>
      <c r="L499" s="50" t="n"/>
      <c r="M499" s="67" t="n"/>
      <c r="N499" s="30" t="n"/>
      <c r="O499" s="12">
        <f>IF(tb_rechnungen[[#This Row],[Re-Datum]]&gt;0,MONTH(tb_rechnungen[[#This Row],[Re-Datum]]),"")</f>
        <v/>
      </c>
      <c r="P499" s="13">
        <f>IF(tb_rechnungen[[#This Row],[Re-Datum]]&gt;0,YEAR(tb_rechnungen[[#This Row],[Re-Datum]]),"")</f>
        <v/>
      </c>
      <c r="Q499" s="19">
        <f>IF(tb_rechnungen[[#This Row],[Brutto]]&lt;&gt;0,tb_rechnungen[[#This Row],[Brutto]]-tb_rechnungen[[#This Row],[Netto]],"")</f>
        <v/>
      </c>
      <c r="R499" s="37">
        <f>IF(tb_rechnungen[[#This Row],[Netto]]&lt;&gt;0,ROUND(tb_rechnungen[[#This Row],[Steuer]]/tb_rechnungen[[#This Row],[Netto]],2),"")</f>
        <v/>
      </c>
    </row>
    <row r="500">
      <c r="A500" s="26" t="n"/>
      <c r="B500" s="27" t="n"/>
      <c r="C500" s="28" t="n"/>
      <c r="D500" s="28" t="n"/>
      <c r="E500" s="27" t="n"/>
      <c r="F500" s="29" t="n"/>
      <c r="G500" s="29" t="n"/>
      <c r="H500" s="30" t="n"/>
      <c r="I500" s="30" t="n"/>
      <c r="J500" s="30" t="n"/>
      <c r="K500" s="50" t="n"/>
      <c r="L500" s="50" t="n"/>
      <c r="M500" s="67" t="n"/>
      <c r="N500" s="30" t="n"/>
      <c r="O500" s="12">
        <f>IF(tb_rechnungen[[#This Row],[Re-Datum]]&gt;0,MONTH(tb_rechnungen[[#This Row],[Re-Datum]]),"")</f>
        <v/>
      </c>
      <c r="P500" s="13">
        <f>IF(tb_rechnungen[[#This Row],[Re-Datum]]&gt;0,YEAR(tb_rechnungen[[#This Row],[Re-Datum]]),"")</f>
        <v/>
      </c>
      <c r="Q500" s="19">
        <f>IF(tb_rechnungen[[#This Row],[Brutto]]&lt;&gt;0,tb_rechnungen[[#This Row],[Brutto]]-tb_rechnungen[[#This Row],[Netto]],"")</f>
        <v/>
      </c>
      <c r="R500" s="37">
        <f>IF(tb_rechnungen[[#This Row],[Netto]]&lt;&gt;0,ROUND(tb_rechnungen[[#This Row],[Steuer]]/tb_rechnungen[[#This Row],[Netto]],2),"")</f>
        <v/>
      </c>
    </row>
    <row r="501">
      <c r="A501" s="26" t="n"/>
      <c r="B501" s="27" t="n"/>
      <c r="C501" s="28" t="n"/>
      <c r="D501" s="28" t="n"/>
      <c r="E501" s="27" t="n"/>
      <c r="F501" s="29" t="n"/>
      <c r="G501" s="29" t="n"/>
      <c r="H501" s="30" t="n"/>
      <c r="I501" s="30" t="n"/>
      <c r="J501" s="30" t="n"/>
      <c r="K501" s="50" t="n"/>
      <c r="L501" s="50" t="n"/>
      <c r="M501" s="67" t="n"/>
      <c r="N501" s="30" t="n"/>
      <c r="O501" s="12">
        <f>IF(tb_rechnungen[[#This Row],[Re-Datum]]&gt;0,MONTH(tb_rechnungen[[#This Row],[Re-Datum]]),"")</f>
        <v/>
      </c>
      <c r="P501" s="13">
        <f>IF(tb_rechnungen[[#This Row],[Re-Datum]]&gt;0,YEAR(tb_rechnungen[[#This Row],[Re-Datum]]),"")</f>
        <v/>
      </c>
      <c r="Q501" s="19">
        <f>IF(tb_rechnungen[[#This Row],[Brutto]]&lt;&gt;0,tb_rechnungen[[#This Row],[Brutto]]-tb_rechnungen[[#This Row],[Netto]],"")</f>
        <v/>
      </c>
      <c r="R501" s="37">
        <f>IF(tb_rechnungen[[#This Row],[Netto]]&lt;&gt;0,ROUND(tb_rechnungen[[#This Row],[Steuer]]/tb_rechnungen[[#This Row],[Netto]],2),"")</f>
        <v/>
      </c>
    </row>
    <row r="502">
      <c r="A502" s="26" t="n"/>
      <c r="B502" s="27" t="n"/>
      <c r="C502" s="28" t="n"/>
      <c r="D502" s="28" t="n"/>
      <c r="E502" s="27" t="n"/>
      <c r="F502" s="29" t="n"/>
      <c r="G502" s="29" t="n"/>
      <c r="H502" s="30" t="n"/>
      <c r="I502" s="30" t="n"/>
      <c r="J502" s="30" t="n"/>
      <c r="K502" s="50" t="n"/>
      <c r="L502" s="50" t="n"/>
      <c r="M502" s="67" t="n"/>
      <c r="N502" s="30" t="n"/>
      <c r="O502" s="12">
        <f>IF(tb_rechnungen[[#This Row],[Re-Datum]]&gt;0,MONTH(tb_rechnungen[[#This Row],[Re-Datum]]),"")</f>
        <v/>
      </c>
      <c r="P502" s="13">
        <f>IF(tb_rechnungen[[#This Row],[Re-Datum]]&gt;0,YEAR(tb_rechnungen[[#This Row],[Re-Datum]]),"")</f>
        <v/>
      </c>
      <c r="Q502" s="19">
        <f>IF(tb_rechnungen[[#This Row],[Brutto]]&lt;&gt;0,tb_rechnungen[[#This Row],[Brutto]]-tb_rechnungen[[#This Row],[Netto]],"")</f>
        <v/>
      </c>
      <c r="R502" s="37">
        <f>IF(tb_rechnungen[[#This Row],[Netto]]&lt;&gt;0,ROUND(tb_rechnungen[[#This Row],[Steuer]]/tb_rechnungen[[#This Row],[Netto]],2),"")</f>
        <v/>
      </c>
    </row>
    <row r="503">
      <c r="A503" s="26" t="n"/>
      <c r="B503" s="27" t="n"/>
      <c r="C503" s="28" t="n"/>
      <c r="D503" s="28" t="n"/>
      <c r="E503" s="27" t="n"/>
      <c r="F503" s="29" t="n"/>
      <c r="G503" s="29" t="n"/>
      <c r="H503" s="30" t="n"/>
      <c r="I503" s="30" t="n"/>
      <c r="J503" s="30" t="n"/>
      <c r="K503" s="50" t="n"/>
      <c r="L503" s="50" t="n"/>
      <c r="M503" s="67" t="n"/>
      <c r="N503" s="30" t="n"/>
      <c r="O503" s="12">
        <f>IF(tb_rechnungen[[#This Row],[Re-Datum]]&gt;0,MONTH(tb_rechnungen[[#This Row],[Re-Datum]]),"")</f>
        <v/>
      </c>
      <c r="P503" s="13">
        <f>IF(tb_rechnungen[[#This Row],[Re-Datum]]&gt;0,YEAR(tb_rechnungen[[#This Row],[Re-Datum]]),"")</f>
        <v/>
      </c>
      <c r="Q503" s="19">
        <f>IF(tb_rechnungen[[#This Row],[Brutto]]&lt;&gt;0,tb_rechnungen[[#This Row],[Brutto]]-tb_rechnungen[[#This Row],[Netto]],"")</f>
        <v/>
      </c>
      <c r="R503" s="37">
        <f>IF(tb_rechnungen[[#This Row],[Netto]]&lt;&gt;0,ROUND(tb_rechnungen[[#This Row],[Steuer]]/tb_rechnungen[[#This Row],[Netto]],2),"")</f>
        <v/>
      </c>
    </row>
    <row r="504">
      <c r="A504" s="26" t="n"/>
      <c r="B504" s="27" t="n"/>
      <c r="C504" s="28" t="n"/>
      <c r="D504" s="28" t="n"/>
      <c r="E504" s="27" t="n"/>
      <c r="F504" s="29" t="n"/>
      <c r="G504" s="29" t="n"/>
      <c r="H504" s="30" t="n"/>
      <c r="I504" s="30" t="n"/>
      <c r="J504" s="30" t="n"/>
      <c r="K504" s="50" t="n"/>
      <c r="L504" s="50" t="n"/>
      <c r="M504" s="67" t="n"/>
      <c r="N504" s="30" t="n"/>
      <c r="O504" s="12">
        <f>IF(tb_rechnungen[[#This Row],[Re-Datum]]&gt;0,MONTH(tb_rechnungen[[#This Row],[Re-Datum]]),"")</f>
        <v/>
      </c>
      <c r="P504" s="13">
        <f>IF(tb_rechnungen[[#This Row],[Re-Datum]]&gt;0,YEAR(tb_rechnungen[[#This Row],[Re-Datum]]),"")</f>
        <v/>
      </c>
      <c r="Q504" s="19">
        <f>IF(tb_rechnungen[[#This Row],[Brutto]]&lt;&gt;0,tb_rechnungen[[#This Row],[Brutto]]-tb_rechnungen[[#This Row],[Netto]],"")</f>
        <v/>
      </c>
      <c r="R504" s="37">
        <f>IF(tb_rechnungen[[#This Row],[Netto]]&lt;&gt;0,ROUND(tb_rechnungen[[#This Row],[Steuer]]/tb_rechnungen[[#This Row],[Netto]],2),"")</f>
        <v/>
      </c>
    </row>
    <row r="505">
      <c r="A505" s="26" t="n"/>
      <c r="B505" s="27" t="n"/>
      <c r="C505" s="28" t="n"/>
      <c r="D505" s="28" t="n"/>
      <c r="E505" s="27" t="n"/>
      <c r="F505" s="29" t="n"/>
      <c r="G505" s="29" t="n"/>
      <c r="H505" s="30" t="n"/>
      <c r="I505" s="30" t="n"/>
      <c r="J505" s="30" t="n"/>
      <c r="K505" s="50" t="n"/>
      <c r="L505" s="50" t="n"/>
      <c r="M505" s="67" t="n"/>
      <c r="N505" s="30" t="n"/>
      <c r="O505" s="12">
        <f>IF(tb_rechnungen[[#This Row],[Re-Datum]]&gt;0,MONTH(tb_rechnungen[[#This Row],[Re-Datum]]),"")</f>
        <v/>
      </c>
      <c r="P505" s="13">
        <f>IF(tb_rechnungen[[#This Row],[Re-Datum]]&gt;0,YEAR(tb_rechnungen[[#This Row],[Re-Datum]]),"")</f>
        <v/>
      </c>
      <c r="Q505" s="19">
        <f>IF(tb_rechnungen[[#This Row],[Brutto]]&lt;&gt;0,tb_rechnungen[[#This Row],[Brutto]]-tb_rechnungen[[#This Row],[Netto]],"")</f>
        <v/>
      </c>
      <c r="R505" s="37">
        <f>IF(tb_rechnungen[[#This Row],[Netto]]&lt;&gt;0,ROUND(tb_rechnungen[[#This Row],[Steuer]]/tb_rechnungen[[#This Row],[Netto]],2),"")</f>
        <v/>
      </c>
    </row>
    <row r="506">
      <c r="A506" s="26" t="n"/>
      <c r="B506" s="27" t="n"/>
      <c r="C506" s="28" t="n"/>
      <c r="D506" s="28" t="n"/>
      <c r="E506" s="27" t="n"/>
      <c r="F506" s="29" t="n"/>
      <c r="G506" s="29" t="n"/>
      <c r="H506" s="30" t="n"/>
      <c r="I506" s="30" t="n"/>
      <c r="J506" s="30" t="n"/>
      <c r="K506" s="50" t="n"/>
      <c r="L506" s="50" t="n"/>
      <c r="M506" s="67" t="n"/>
      <c r="N506" s="30" t="n"/>
      <c r="O506" s="12">
        <f>IF(tb_rechnungen[[#This Row],[Re-Datum]]&gt;0,MONTH(tb_rechnungen[[#This Row],[Re-Datum]]),"")</f>
        <v/>
      </c>
      <c r="P506" s="13">
        <f>IF(tb_rechnungen[[#This Row],[Re-Datum]]&gt;0,YEAR(tb_rechnungen[[#This Row],[Re-Datum]]),"")</f>
        <v/>
      </c>
      <c r="Q506" s="19">
        <f>IF(tb_rechnungen[[#This Row],[Brutto]]&lt;&gt;0,tb_rechnungen[[#This Row],[Brutto]]-tb_rechnungen[[#This Row],[Netto]],"")</f>
        <v/>
      </c>
      <c r="R506" s="37">
        <f>IF(tb_rechnungen[[#This Row],[Netto]]&lt;&gt;0,ROUND(tb_rechnungen[[#This Row],[Steuer]]/tb_rechnungen[[#This Row],[Netto]],2),"")</f>
        <v/>
      </c>
    </row>
    <row r="507">
      <c r="A507" s="26" t="n"/>
      <c r="B507" s="27" t="n"/>
      <c r="C507" s="28" t="n"/>
      <c r="D507" s="28" t="n"/>
      <c r="E507" s="27" t="n"/>
      <c r="F507" s="29" t="n"/>
      <c r="G507" s="29" t="n"/>
      <c r="H507" s="30" t="n"/>
      <c r="I507" s="30" t="n"/>
      <c r="J507" s="30" t="n"/>
      <c r="K507" s="50" t="n"/>
      <c r="L507" s="50" t="n"/>
      <c r="M507" s="67" t="n"/>
      <c r="N507" s="30" t="n"/>
      <c r="O507" s="12">
        <f>IF(tb_rechnungen[[#This Row],[Re-Datum]]&gt;0,MONTH(tb_rechnungen[[#This Row],[Re-Datum]]),"")</f>
        <v/>
      </c>
      <c r="P507" s="13">
        <f>IF(tb_rechnungen[[#This Row],[Re-Datum]]&gt;0,YEAR(tb_rechnungen[[#This Row],[Re-Datum]]),"")</f>
        <v/>
      </c>
      <c r="Q507" s="19">
        <f>IF(tb_rechnungen[[#This Row],[Brutto]]&lt;&gt;0,tb_rechnungen[[#This Row],[Brutto]]-tb_rechnungen[[#This Row],[Netto]],"")</f>
        <v/>
      </c>
      <c r="R507" s="37">
        <f>IF(tb_rechnungen[[#This Row],[Netto]]&lt;&gt;0,ROUND(tb_rechnungen[[#This Row],[Steuer]]/tb_rechnungen[[#This Row],[Netto]],2),"")</f>
        <v/>
      </c>
    </row>
    <row r="508">
      <c r="A508" s="26" t="n"/>
      <c r="B508" s="27" t="n"/>
      <c r="C508" s="28" t="n"/>
      <c r="D508" s="28" t="n"/>
      <c r="E508" s="27" t="n"/>
      <c r="F508" s="29" t="n"/>
      <c r="G508" s="29" t="n"/>
      <c r="H508" s="30" t="n"/>
      <c r="I508" s="30" t="n"/>
      <c r="J508" s="30" t="n"/>
      <c r="K508" s="50" t="n"/>
      <c r="L508" s="50" t="n"/>
      <c r="M508" s="67" t="n"/>
      <c r="N508" s="30" t="n"/>
      <c r="O508" s="12">
        <f>IF(tb_rechnungen[[#This Row],[Re-Datum]]&gt;0,MONTH(tb_rechnungen[[#This Row],[Re-Datum]]),"")</f>
        <v/>
      </c>
      <c r="P508" s="13">
        <f>IF(tb_rechnungen[[#This Row],[Re-Datum]]&gt;0,YEAR(tb_rechnungen[[#This Row],[Re-Datum]]),"")</f>
        <v/>
      </c>
      <c r="Q508" s="19">
        <f>IF(tb_rechnungen[[#This Row],[Brutto]]&lt;&gt;0,tb_rechnungen[[#This Row],[Brutto]]-tb_rechnungen[[#This Row],[Netto]],"")</f>
        <v/>
      </c>
      <c r="R508" s="37">
        <f>IF(tb_rechnungen[[#This Row],[Netto]]&lt;&gt;0,ROUND(tb_rechnungen[[#This Row],[Steuer]]/tb_rechnungen[[#This Row],[Netto]],2),"")</f>
        <v/>
      </c>
    </row>
    <row r="509">
      <c r="A509" s="26" t="n"/>
      <c r="B509" s="27" t="n"/>
      <c r="C509" s="28" t="n"/>
      <c r="D509" s="28" t="n"/>
      <c r="E509" s="27" t="n"/>
      <c r="F509" s="29" t="n"/>
      <c r="G509" s="29" t="n"/>
      <c r="H509" s="30" t="n"/>
      <c r="I509" s="30" t="n"/>
      <c r="J509" s="30" t="n"/>
      <c r="K509" s="50" t="n"/>
      <c r="L509" s="50" t="n"/>
      <c r="M509" s="67" t="n"/>
      <c r="N509" s="30" t="n"/>
      <c r="O509" s="12">
        <f>IF(tb_rechnungen[[#This Row],[Re-Datum]]&gt;0,MONTH(tb_rechnungen[[#This Row],[Re-Datum]]),"")</f>
        <v/>
      </c>
      <c r="P509" s="13">
        <f>IF(tb_rechnungen[[#This Row],[Re-Datum]]&gt;0,YEAR(tb_rechnungen[[#This Row],[Re-Datum]]),"")</f>
        <v/>
      </c>
      <c r="Q509" s="19">
        <f>IF(tb_rechnungen[[#This Row],[Brutto]]&lt;&gt;0,tb_rechnungen[[#This Row],[Brutto]]-tb_rechnungen[[#This Row],[Netto]],"")</f>
        <v/>
      </c>
      <c r="R509" s="37">
        <f>IF(tb_rechnungen[[#This Row],[Netto]]&lt;&gt;0,ROUND(tb_rechnungen[[#This Row],[Steuer]]/tb_rechnungen[[#This Row],[Netto]],2),"")</f>
        <v/>
      </c>
    </row>
    <row r="510">
      <c r="A510" s="26" t="n"/>
      <c r="B510" s="27" t="n"/>
      <c r="C510" s="28" t="n"/>
      <c r="D510" s="28" t="n"/>
      <c r="E510" s="27" t="n"/>
      <c r="F510" s="29" t="n"/>
      <c r="G510" s="29" t="n"/>
      <c r="H510" s="30" t="n"/>
      <c r="I510" s="30" t="n"/>
      <c r="J510" s="30" t="n"/>
      <c r="K510" s="50" t="n"/>
      <c r="L510" s="50" t="n"/>
      <c r="M510" s="67" t="n"/>
      <c r="N510" s="30" t="n"/>
      <c r="O510" s="12">
        <f>IF(tb_rechnungen[[#This Row],[Re-Datum]]&gt;0,MONTH(tb_rechnungen[[#This Row],[Re-Datum]]),"")</f>
        <v/>
      </c>
      <c r="P510" s="13">
        <f>IF(tb_rechnungen[[#This Row],[Re-Datum]]&gt;0,YEAR(tb_rechnungen[[#This Row],[Re-Datum]]),"")</f>
        <v/>
      </c>
      <c r="Q510" s="19">
        <f>IF(tb_rechnungen[[#This Row],[Brutto]]&lt;&gt;0,tb_rechnungen[[#This Row],[Brutto]]-tb_rechnungen[[#This Row],[Netto]],"")</f>
        <v/>
      </c>
      <c r="R510" s="37">
        <f>IF(tb_rechnungen[[#This Row],[Netto]]&lt;&gt;0,ROUND(tb_rechnungen[[#This Row],[Steuer]]/tb_rechnungen[[#This Row],[Netto]],2),"")</f>
        <v/>
      </c>
    </row>
    <row r="511">
      <c r="A511" s="26" t="n"/>
      <c r="B511" s="27" t="n"/>
      <c r="C511" s="28" t="n"/>
      <c r="D511" s="28" t="n"/>
      <c r="E511" s="27" t="n"/>
      <c r="F511" s="29" t="n"/>
      <c r="G511" s="29" t="n"/>
      <c r="H511" s="30" t="n"/>
      <c r="I511" s="30" t="n"/>
      <c r="J511" s="30" t="n"/>
      <c r="K511" s="50" t="n"/>
      <c r="L511" s="50" t="n"/>
      <c r="M511" s="67" t="n"/>
      <c r="N511" s="30" t="n"/>
      <c r="O511" s="12">
        <f>IF(tb_rechnungen[[#This Row],[Re-Datum]]&gt;0,MONTH(tb_rechnungen[[#This Row],[Re-Datum]]),"")</f>
        <v/>
      </c>
      <c r="P511" s="13">
        <f>IF(tb_rechnungen[[#This Row],[Re-Datum]]&gt;0,YEAR(tb_rechnungen[[#This Row],[Re-Datum]]),"")</f>
        <v/>
      </c>
      <c r="Q511" s="19">
        <f>IF(tb_rechnungen[[#This Row],[Brutto]]&lt;&gt;0,tb_rechnungen[[#This Row],[Brutto]]-tb_rechnungen[[#This Row],[Netto]],"")</f>
        <v/>
      </c>
      <c r="R511" s="37">
        <f>IF(tb_rechnungen[[#This Row],[Netto]]&lt;&gt;0,ROUND(tb_rechnungen[[#This Row],[Steuer]]/tb_rechnungen[[#This Row],[Netto]],2),"")</f>
        <v/>
      </c>
    </row>
    <row r="512">
      <c r="A512" s="26" t="n"/>
      <c r="B512" s="27" t="n"/>
      <c r="C512" s="28" t="n"/>
      <c r="D512" s="28" t="n"/>
      <c r="E512" s="27" t="n"/>
      <c r="F512" s="29" t="n"/>
      <c r="G512" s="29" t="n"/>
      <c r="H512" s="30" t="n"/>
      <c r="I512" s="30" t="n"/>
      <c r="J512" s="30" t="n"/>
      <c r="K512" s="50" t="n"/>
      <c r="L512" s="50" t="n"/>
      <c r="M512" s="67" t="n"/>
      <c r="N512" s="30" t="n"/>
      <c r="O512" s="12">
        <f>IF(tb_rechnungen[[#This Row],[Re-Datum]]&gt;0,MONTH(tb_rechnungen[[#This Row],[Re-Datum]]),"")</f>
        <v/>
      </c>
      <c r="P512" s="13">
        <f>IF(tb_rechnungen[[#This Row],[Re-Datum]]&gt;0,YEAR(tb_rechnungen[[#This Row],[Re-Datum]]),"")</f>
        <v/>
      </c>
      <c r="Q512" s="19">
        <f>IF(tb_rechnungen[[#This Row],[Brutto]]&lt;&gt;0,tb_rechnungen[[#This Row],[Brutto]]-tb_rechnungen[[#This Row],[Netto]],"")</f>
        <v/>
      </c>
      <c r="R512" s="37">
        <f>IF(tb_rechnungen[[#This Row],[Netto]]&lt;&gt;0,ROUND(tb_rechnungen[[#This Row],[Steuer]]/tb_rechnungen[[#This Row],[Netto]],2),"")</f>
        <v/>
      </c>
    </row>
    <row r="513">
      <c r="A513" s="26" t="n"/>
      <c r="B513" s="27" t="n"/>
      <c r="C513" s="28" t="n"/>
      <c r="D513" s="28" t="n"/>
      <c r="E513" s="27" t="n"/>
      <c r="F513" s="29" t="n"/>
      <c r="G513" s="29" t="n"/>
      <c r="H513" s="30" t="n"/>
      <c r="I513" s="30" t="n"/>
      <c r="J513" s="30" t="n"/>
      <c r="K513" s="50" t="n"/>
      <c r="L513" s="50" t="n"/>
      <c r="M513" s="67" t="n"/>
      <c r="N513" s="30" t="n"/>
      <c r="O513" s="12">
        <f>IF(tb_rechnungen[[#This Row],[Re-Datum]]&gt;0,MONTH(tb_rechnungen[[#This Row],[Re-Datum]]),"")</f>
        <v/>
      </c>
      <c r="P513" s="13">
        <f>IF(tb_rechnungen[[#This Row],[Re-Datum]]&gt;0,YEAR(tb_rechnungen[[#This Row],[Re-Datum]]),"")</f>
        <v/>
      </c>
      <c r="Q513" s="19">
        <f>IF(tb_rechnungen[[#This Row],[Brutto]]&lt;&gt;0,tb_rechnungen[[#This Row],[Brutto]]-tb_rechnungen[[#This Row],[Netto]],"")</f>
        <v/>
      </c>
      <c r="R513" s="37">
        <f>IF(tb_rechnungen[[#This Row],[Netto]]&lt;&gt;0,ROUND(tb_rechnungen[[#This Row],[Steuer]]/tb_rechnungen[[#This Row],[Netto]],2),"")</f>
        <v/>
      </c>
    </row>
    <row r="514">
      <c r="A514" s="26" t="n"/>
      <c r="B514" s="27" t="n"/>
      <c r="C514" s="28" t="n"/>
      <c r="D514" s="28" t="n"/>
      <c r="E514" s="27" t="n"/>
      <c r="F514" s="29" t="n"/>
      <c r="G514" s="29" t="n"/>
      <c r="H514" s="30" t="n"/>
      <c r="I514" s="30" t="n"/>
      <c r="J514" s="30" t="n"/>
      <c r="K514" s="50" t="n"/>
      <c r="L514" s="50" t="n"/>
      <c r="M514" s="67" t="n"/>
      <c r="N514" s="30" t="n"/>
      <c r="O514" s="12">
        <f>IF(tb_rechnungen[[#This Row],[Re-Datum]]&gt;0,MONTH(tb_rechnungen[[#This Row],[Re-Datum]]),"")</f>
        <v/>
      </c>
      <c r="P514" s="13">
        <f>IF(tb_rechnungen[[#This Row],[Re-Datum]]&gt;0,YEAR(tb_rechnungen[[#This Row],[Re-Datum]]),"")</f>
        <v/>
      </c>
      <c r="Q514" s="19">
        <f>IF(tb_rechnungen[[#This Row],[Brutto]]&lt;&gt;0,tb_rechnungen[[#This Row],[Brutto]]-tb_rechnungen[[#This Row],[Netto]],"")</f>
        <v/>
      </c>
      <c r="R514" s="37">
        <f>IF(tb_rechnungen[[#This Row],[Netto]]&lt;&gt;0,ROUND(tb_rechnungen[[#This Row],[Steuer]]/tb_rechnungen[[#This Row],[Netto]],2),"")</f>
        <v/>
      </c>
    </row>
    <row r="515">
      <c r="A515" s="26" t="n"/>
      <c r="B515" s="27" t="n"/>
      <c r="C515" s="28" t="n"/>
      <c r="D515" s="28" t="n"/>
      <c r="E515" s="27" t="n"/>
      <c r="F515" s="29" t="n"/>
      <c r="G515" s="29" t="n"/>
      <c r="H515" s="30" t="n"/>
      <c r="I515" s="30" t="n"/>
      <c r="J515" s="30" t="n"/>
      <c r="K515" s="50" t="n"/>
      <c r="L515" s="50" t="n"/>
      <c r="M515" s="67" t="n"/>
      <c r="N515" s="30" t="n"/>
      <c r="O515" s="12">
        <f>IF(tb_rechnungen[[#This Row],[Re-Datum]]&gt;0,MONTH(tb_rechnungen[[#This Row],[Re-Datum]]),"")</f>
        <v/>
      </c>
      <c r="P515" s="13">
        <f>IF(tb_rechnungen[[#This Row],[Re-Datum]]&gt;0,YEAR(tb_rechnungen[[#This Row],[Re-Datum]]),"")</f>
        <v/>
      </c>
      <c r="Q515" s="19">
        <f>IF(tb_rechnungen[[#This Row],[Brutto]]&lt;&gt;0,tb_rechnungen[[#This Row],[Brutto]]-tb_rechnungen[[#This Row],[Netto]],"")</f>
        <v/>
      </c>
      <c r="R515" s="37">
        <f>IF(tb_rechnungen[[#This Row],[Netto]]&lt;&gt;0,ROUND(tb_rechnungen[[#This Row],[Steuer]]/tb_rechnungen[[#This Row],[Netto]],2),"")</f>
        <v/>
      </c>
    </row>
    <row r="516">
      <c r="A516" s="26" t="n"/>
      <c r="B516" s="27" t="n"/>
      <c r="C516" s="28" t="n"/>
      <c r="D516" s="28" t="n"/>
      <c r="E516" s="27" t="n"/>
      <c r="F516" s="29" t="n"/>
      <c r="G516" s="29" t="n"/>
      <c r="H516" s="30" t="n"/>
      <c r="I516" s="30" t="n"/>
      <c r="J516" s="30" t="n"/>
      <c r="K516" s="50" t="n"/>
      <c r="L516" s="50" t="n"/>
      <c r="M516" s="67" t="n"/>
      <c r="N516" s="30" t="n"/>
      <c r="O516" s="12">
        <f>IF(tb_rechnungen[[#This Row],[Re-Datum]]&gt;0,MONTH(tb_rechnungen[[#This Row],[Re-Datum]]),"")</f>
        <v/>
      </c>
      <c r="P516" s="13">
        <f>IF(tb_rechnungen[[#This Row],[Re-Datum]]&gt;0,YEAR(tb_rechnungen[[#This Row],[Re-Datum]]),"")</f>
        <v/>
      </c>
      <c r="Q516" s="19">
        <f>IF(tb_rechnungen[[#This Row],[Brutto]]&lt;&gt;0,tb_rechnungen[[#This Row],[Brutto]]-tb_rechnungen[[#This Row],[Netto]],"")</f>
        <v/>
      </c>
      <c r="R516" s="37">
        <f>IF(tb_rechnungen[[#This Row],[Netto]]&lt;&gt;0,ROUND(tb_rechnungen[[#This Row],[Steuer]]/tb_rechnungen[[#This Row],[Netto]],2),"")</f>
        <v/>
      </c>
    </row>
    <row r="517">
      <c r="A517" s="26" t="n"/>
      <c r="B517" s="27" t="n"/>
      <c r="C517" s="28" t="n"/>
      <c r="D517" s="28" t="n"/>
      <c r="E517" s="27" t="n"/>
      <c r="F517" s="29" t="n"/>
      <c r="G517" s="29" t="n"/>
      <c r="H517" s="30" t="n"/>
      <c r="I517" s="30" t="n"/>
      <c r="J517" s="30" t="n"/>
      <c r="K517" s="50" t="n"/>
      <c r="L517" s="50" t="n"/>
      <c r="M517" s="67" t="n"/>
      <c r="N517" s="30" t="n"/>
      <c r="O517" s="12">
        <f>IF(tb_rechnungen[[#This Row],[Re-Datum]]&gt;0,MONTH(tb_rechnungen[[#This Row],[Re-Datum]]),"")</f>
        <v/>
      </c>
      <c r="P517" s="13">
        <f>IF(tb_rechnungen[[#This Row],[Re-Datum]]&gt;0,YEAR(tb_rechnungen[[#This Row],[Re-Datum]]),"")</f>
        <v/>
      </c>
      <c r="Q517" s="19">
        <f>IF(tb_rechnungen[[#This Row],[Brutto]]&lt;&gt;0,tb_rechnungen[[#This Row],[Brutto]]-tb_rechnungen[[#This Row],[Netto]],"")</f>
        <v/>
      </c>
      <c r="R517" s="37">
        <f>IF(tb_rechnungen[[#This Row],[Netto]]&lt;&gt;0,ROUND(tb_rechnungen[[#This Row],[Steuer]]/tb_rechnungen[[#This Row],[Netto]],2),"")</f>
        <v/>
      </c>
    </row>
    <row r="518">
      <c r="A518" s="26" t="n"/>
      <c r="B518" s="27" t="n"/>
      <c r="C518" s="28" t="n"/>
      <c r="D518" s="28" t="n"/>
      <c r="E518" s="27" t="n"/>
      <c r="F518" s="29" t="n"/>
      <c r="G518" s="29" t="n"/>
      <c r="H518" s="30" t="n"/>
      <c r="I518" s="30" t="n"/>
      <c r="J518" s="30" t="n"/>
      <c r="K518" s="50" t="n"/>
      <c r="L518" s="50" t="n"/>
      <c r="M518" s="67" t="n"/>
      <c r="N518" s="30" t="n"/>
      <c r="O518" s="12">
        <f>IF(tb_rechnungen[[#This Row],[Re-Datum]]&gt;0,MONTH(tb_rechnungen[[#This Row],[Re-Datum]]),"")</f>
        <v/>
      </c>
      <c r="P518" s="13">
        <f>IF(tb_rechnungen[[#This Row],[Re-Datum]]&gt;0,YEAR(tb_rechnungen[[#This Row],[Re-Datum]]),"")</f>
        <v/>
      </c>
      <c r="Q518" s="19">
        <f>IF(tb_rechnungen[[#This Row],[Brutto]]&lt;&gt;0,tb_rechnungen[[#This Row],[Brutto]]-tb_rechnungen[[#This Row],[Netto]],"")</f>
        <v/>
      </c>
      <c r="R518" s="37">
        <f>IF(tb_rechnungen[[#This Row],[Netto]]&lt;&gt;0,ROUND(tb_rechnungen[[#This Row],[Steuer]]/tb_rechnungen[[#This Row],[Netto]],2),"")</f>
        <v/>
      </c>
    </row>
    <row r="519">
      <c r="A519" s="26" t="n"/>
      <c r="B519" s="27" t="n"/>
      <c r="C519" s="28" t="n"/>
      <c r="D519" s="28" t="n"/>
      <c r="E519" s="27" t="n"/>
      <c r="F519" s="29" t="n"/>
      <c r="G519" s="29" t="n"/>
      <c r="H519" s="30" t="n"/>
      <c r="I519" s="30" t="n"/>
      <c r="J519" s="30" t="n"/>
      <c r="K519" s="50" t="n"/>
      <c r="L519" s="50" t="n"/>
      <c r="M519" s="67" t="n"/>
      <c r="N519" s="30" t="n"/>
      <c r="O519" s="12">
        <f>IF(tb_rechnungen[[#This Row],[Re-Datum]]&gt;0,MONTH(tb_rechnungen[[#This Row],[Re-Datum]]),"")</f>
        <v/>
      </c>
      <c r="P519" s="13">
        <f>IF(tb_rechnungen[[#This Row],[Re-Datum]]&gt;0,YEAR(tb_rechnungen[[#This Row],[Re-Datum]]),"")</f>
        <v/>
      </c>
      <c r="Q519" s="19">
        <f>IF(tb_rechnungen[[#This Row],[Brutto]]&lt;&gt;0,tb_rechnungen[[#This Row],[Brutto]]-tb_rechnungen[[#This Row],[Netto]],"")</f>
        <v/>
      </c>
      <c r="R519" s="37">
        <f>IF(tb_rechnungen[[#This Row],[Netto]]&lt;&gt;0,ROUND(tb_rechnungen[[#This Row],[Steuer]]/tb_rechnungen[[#This Row],[Netto]],2),"")</f>
        <v/>
      </c>
    </row>
    <row r="520">
      <c r="A520" s="26" t="n"/>
      <c r="B520" s="27" t="n"/>
      <c r="C520" s="28" t="n"/>
      <c r="D520" s="28" t="n"/>
      <c r="E520" s="27" t="n"/>
      <c r="F520" s="29" t="n"/>
      <c r="G520" s="29" t="n"/>
      <c r="H520" s="30" t="n"/>
      <c r="I520" s="30" t="n"/>
      <c r="J520" s="30" t="n"/>
      <c r="K520" s="50" t="n"/>
      <c r="L520" s="50" t="n"/>
      <c r="M520" s="67" t="n"/>
      <c r="N520" s="30" t="n"/>
      <c r="O520" s="12">
        <f>IF(tb_rechnungen[[#This Row],[Re-Datum]]&gt;0,MONTH(tb_rechnungen[[#This Row],[Re-Datum]]),"")</f>
        <v/>
      </c>
      <c r="P520" s="13">
        <f>IF(tb_rechnungen[[#This Row],[Re-Datum]]&gt;0,YEAR(tb_rechnungen[[#This Row],[Re-Datum]]),"")</f>
        <v/>
      </c>
      <c r="Q520" s="19">
        <f>IF(tb_rechnungen[[#This Row],[Brutto]]&lt;&gt;0,tb_rechnungen[[#This Row],[Brutto]]-tb_rechnungen[[#This Row],[Netto]],"")</f>
        <v/>
      </c>
      <c r="R520" s="37">
        <f>IF(tb_rechnungen[[#This Row],[Netto]]&lt;&gt;0,ROUND(tb_rechnungen[[#This Row],[Steuer]]/tb_rechnungen[[#This Row],[Netto]],2),"")</f>
        <v/>
      </c>
    </row>
    <row r="521">
      <c r="A521" s="26" t="n"/>
      <c r="B521" s="27" t="n"/>
      <c r="C521" s="28" t="n"/>
      <c r="D521" s="28" t="n"/>
      <c r="E521" s="27" t="n"/>
      <c r="F521" s="29" t="n"/>
      <c r="G521" s="29" t="n"/>
      <c r="H521" s="30" t="n"/>
      <c r="I521" s="30" t="n"/>
      <c r="J521" s="30" t="n"/>
      <c r="K521" s="50" t="n"/>
      <c r="L521" s="50" t="n"/>
      <c r="M521" s="67" t="n"/>
      <c r="N521" s="30" t="n"/>
      <c r="O521" s="12">
        <f>IF(tb_rechnungen[[#This Row],[Re-Datum]]&gt;0,MONTH(tb_rechnungen[[#This Row],[Re-Datum]]),"")</f>
        <v/>
      </c>
      <c r="P521" s="13">
        <f>IF(tb_rechnungen[[#This Row],[Re-Datum]]&gt;0,YEAR(tb_rechnungen[[#This Row],[Re-Datum]]),"")</f>
        <v/>
      </c>
      <c r="Q521" s="19">
        <f>IF(tb_rechnungen[[#This Row],[Brutto]]&lt;&gt;0,tb_rechnungen[[#This Row],[Brutto]]-tb_rechnungen[[#This Row],[Netto]],"")</f>
        <v/>
      </c>
      <c r="R521" s="37">
        <f>IF(tb_rechnungen[[#This Row],[Netto]]&lt;&gt;0,ROUND(tb_rechnungen[[#This Row],[Steuer]]/tb_rechnungen[[#This Row],[Netto]],2),"")</f>
        <v/>
      </c>
    </row>
    <row r="522">
      <c r="A522" s="26" t="n"/>
      <c r="B522" s="27" t="n"/>
      <c r="C522" s="28" t="n"/>
      <c r="D522" s="28" t="n"/>
      <c r="E522" s="27" t="n"/>
      <c r="F522" s="29" t="n"/>
      <c r="G522" s="29" t="n"/>
      <c r="H522" s="30" t="n"/>
      <c r="I522" s="30" t="n"/>
      <c r="J522" s="30" t="n"/>
      <c r="K522" s="50" t="n"/>
      <c r="L522" s="50" t="n"/>
      <c r="M522" s="67" t="n"/>
      <c r="N522" s="30" t="n"/>
      <c r="O522" s="12">
        <f>IF(tb_rechnungen[[#This Row],[Re-Datum]]&gt;0,MONTH(tb_rechnungen[[#This Row],[Re-Datum]]),"")</f>
        <v/>
      </c>
      <c r="P522" s="13">
        <f>IF(tb_rechnungen[[#This Row],[Re-Datum]]&gt;0,YEAR(tb_rechnungen[[#This Row],[Re-Datum]]),"")</f>
        <v/>
      </c>
      <c r="Q522" s="19">
        <f>IF(tb_rechnungen[[#This Row],[Brutto]]&lt;&gt;0,tb_rechnungen[[#This Row],[Brutto]]-tb_rechnungen[[#This Row],[Netto]],"")</f>
        <v/>
      </c>
      <c r="R522" s="37">
        <f>IF(tb_rechnungen[[#This Row],[Netto]]&lt;&gt;0,ROUND(tb_rechnungen[[#This Row],[Steuer]]/tb_rechnungen[[#This Row],[Netto]],2),"")</f>
        <v/>
      </c>
    </row>
    <row r="523">
      <c r="A523" s="26" t="n"/>
      <c r="B523" s="27" t="n"/>
      <c r="C523" s="28" t="n"/>
      <c r="D523" s="28" t="n"/>
      <c r="E523" s="27" t="n"/>
      <c r="F523" s="29" t="n"/>
      <c r="G523" s="29" t="n"/>
      <c r="H523" s="30" t="n"/>
      <c r="I523" s="30" t="n"/>
      <c r="J523" s="30" t="n"/>
      <c r="K523" s="50" t="n"/>
      <c r="L523" s="50" t="n"/>
      <c r="M523" s="67" t="n"/>
      <c r="N523" s="30" t="n"/>
      <c r="O523" s="12">
        <f>IF(tb_rechnungen[[#This Row],[Re-Datum]]&gt;0,MONTH(tb_rechnungen[[#This Row],[Re-Datum]]),"")</f>
        <v/>
      </c>
      <c r="P523" s="13">
        <f>IF(tb_rechnungen[[#This Row],[Re-Datum]]&gt;0,YEAR(tb_rechnungen[[#This Row],[Re-Datum]]),"")</f>
        <v/>
      </c>
      <c r="Q523" s="19">
        <f>IF(tb_rechnungen[[#This Row],[Brutto]]&lt;&gt;0,tb_rechnungen[[#This Row],[Brutto]]-tb_rechnungen[[#This Row],[Netto]],"")</f>
        <v/>
      </c>
      <c r="R523" s="37">
        <f>IF(tb_rechnungen[[#This Row],[Netto]]&lt;&gt;0,ROUND(tb_rechnungen[[#This Row],[Steuer]]/tb_rechnungen[[#This Row],[Netto]],2),"")</f>
        <v/>
      </c>
    </row>
    <row r="524">
      <c r="A524" s="26" t="n"/>
      <c r="B524" s="27" t="n"/>
      <c r="C524" s="28" t="n"/>
      <c r="D524" s="28" t="n"/>
      <c r="E524" s="27" t="n"/>
      <c r="F524" s="29" t="n"/>
      <c r="G524" s="29" t="n"/>
      <c r="H524" s="30" t="n"/>
      <c r="I524" s="30" t="n"/>
      <c r="J524" s="30" t="n"/>
      <c r="K524" s="50" t="n"/>
      <c r="L524" s="50" t="n"/>
      <c r="M524" s="67" t="n"/>
      <c r="N524" s="30" t="n"/>
      <c r="O524" s="12">
        <f>IF(tb_rechnungen[[#This Row],[Re-Datum]]&gt;0,MONTH(tb_rechnungen[[#This Row],[Re-Datum]]),"")</f>
        <v/>
      </c>
      <c r="P524" s="13">
        <f>IF(tb_rechnungen[[#This Row],[Re-Datum]]&gt;0,YEAR(tb_rechnungen[[#This Row],[Re-Datum]]),"")</f>
        <v/>
      </c>
      <c r="Q524" s="19">
        <f>IF(tb_rechnungen[[#This Row],[Brutto]]&lt;&gt;0,tb_rechnungen[[#This Row],[Brutto]]-tb_rechnungen[[#This Row],[Netto]],"")</f>
        <v/>
      </c>
      <c r="R524" s="37">
        <f>IF(tb_rechnungen[[#This Row],[Netto]]&lt;&gt;0,ROUND(tb_rechnungen[[#This Row],[Steuer]]/tb_rechnungen[[#This Row],[Netto]],2),"")</f>
        <v/>
      </c>
    </row>
    <row r="525">
      <c r="A525" s="26" t="n"/>
      <c r="B525" s="27" t="n"/>
      <c r="C525" s="28" t="n"/>
      <c r="D525" s="28" t="n"/>
      <c r="E525" s="27" t="n"/>
      <c r="F525" s="29" t="n"/>
      <c r="G525" s="29" t="n"/>
      <c r="H525" s="30" t="n"/>
      <c r="I525" s="30" t="n"/>
      <c r="J525" s="30" t="n"/>
      <c r="K525" s="50" t="n"/>
      <c r="L525" s="50" t="n"/>
      <c r="M525" s="67" t="n"/>
      <c r="N525" s="30" t="n"/>
      <c r="O525" s="12">
        <f>IF(tb_rechnungen[[#This Row],[Re-Datum]]&gt;0,MONTH(tb_rechnungen[[#This Row],[Re-Datum]]),"")</f>
        <v/>
      </c>
      <c r="P525" s="13">
        <f>IF(tb_rechnungen[[#This Row],[Re-Datum]]&gt;0,YEAR(tb_rechnungen[[#This Row],[Re-Datum]]),"")</f>
        <v/>
      </c>
      <c r="Q525" s="19">
        <f>IF(tb_rechnungen[[#This Row],[Brutto]]&lt;&gt;0,tb_rechnungen[[#This Row],[Brutto]]-tb_rechnungen[[#This Row],[Netto]],"")</f>
        <v/>
      </c>
      <c r="R525" s="37">
        <f>IF(tb_rechnungen[[#This Row],[Netto]]&lt;&gt;0,ROUND(tb_rechnungen[[#This Row],[Steuer]]/tb_rechnungen[[#This Row],[Netto]],2),"")</f>
        <v/>
      </c>
    </row>
    <row r="526">
      <c r="A526" s="26" t="n"/>
      <c r="B526" s="27" t="n"/>
      <c r="C526" s="28" t="n"/>
      <c r="D526" s="28" t="n"/>
      <c r="E526" s="27" t="n"/>
      <c r="F526" s="29" t="n"/>
      <c r="G526" s="29" t="n"/>
      <c r="H526" s="30" t="n"/>
      <c r="I526" s="30" t="n"/>
      <c r="J526" s="30" t="n"/>
      <c r="K526" s="50" t="n"/>
      <c r="L526" s="50" t="n"/>
      <c r="M526" s="67" t="n"/>
      <c r="N526" s="30" t="n"/>
      <c r="O526" s="12">
        <f>IF(tb_rechnungen[[#This Row],[Re-Datum]]&gt;0,MONTH(tb_rechnungen[[#This Row],[Re-Datum]]),"")</f>
        <v/>
      </c>
      <c r="P526" s="13">
        <f>IF(tb_rechnungen[[#This Row],[Re-Datum]]&gt;0,YEAR(tb_rechnungen[[#This Row],[Re-Datum]]),"")</f>
        <v/>
      </c>
      <c r="Q526" s="19">
        <f>IF(tb_rechnungen[[#This Row],[Brutto]]&lt;&gt;0,tb_rechnungen[[#This Row],[Brutto]]-tb_rechnungen[[#This Row],[Netto]],"")</f>
        <v/>
      </c>
      <c r="R526" s="37">
        <f>IF(tb_rechnungen[[#This Row],[Netto]]&lt;&gt;0,ROUND(tb_rechnungen[[#This Row],[Steuer]]/tb_rechnungen[[#This Row],[Netto]],2),"")</f>
        <v/>
      </c>
    </row>
    <row r="527">
      <c r="A527" s="26" t="n"/>
      <c r="B527" s="27" t="n"/>
      <c r="C527" s="28" t="n"/>
      <c r="D527" s="28" t="n"/>
      <c r="E527" s="27" t="n"/>
      <c r="F527" s="29" t="n"/>
      <c r="G527" s="29" t="n"/>
      <c r="H527" s="30" t="n"/>
      <c r="I527" s="30" t="n"/>
      <c r="J527" s="30" t="n"/>
      <c r="K527" s="50" t="n"/>
      <c r="L527" s="50" t="n"/>
      <c r="M527" s="67" t="n"/>
      <c r="N527" s="30" t="n"/>
      <c r="O527" s="12">
        <f>IF(tb_rechnungen[[#This Row],[Re-Datum]]&gt;0,MONTH(tb_rechnungen[[#This Row],[Re-Datum]]),"")</f>
        <v/>
      </c>
      <c r="P527" s="13">
        <f>IF(tb_rechnungen[[#This Row],[Re-Datum]]&gt;0,YEAR(tb_rechnungen[[#This Row],[Re-Datum]]),"")</f>
        <v/>
      </c>
      <c r="Q527" s="19">
        <f>IF(tb_rechnungen[[#This Row],[Brutto]]&lt;&gt;0,tb_rechnungen[[#This Row],[Brutto]]-tb_rechnungen[[#This Row],[Netto]],"")</f>
        <v/>
      </c>
      <c r="R527" s="37">
        <f>IF(tb_rechnungen[[#This Row],[Netto]]&lt;&gt;0,ROUND(tb_rechnungen[[#This Row],[Steuer]]/tb_rechnungen[[#This Row],[Netto]],2),"")</f>
        <v/>
      </c>
    </row>
    <row r="528">
      <c r="A528" s="26" t="n"/>
      <c r="B528" s="27" t="n"/>
      <c r="C528" s="28" t="n"/>
      <c r="D528" s="28" t="n"/>
      <c r="E528" s="27" t="n"/>
      <c r="F528" s="29" t="n"/>
      <c r="G528" s="29" t="n"/>
      <c r="H528" s="30" t="n"/>
      <c r="I528" s="30" t="n"/>
      <c r="J528" s="30" t="n"/>
      <c r="K528" s="50" t="n"/>
      <c r="L528" s="50" t="n"/>
      <c r="M528" s="67" t="n"/>
      <c r="N528" s="30" t="n"/>
      <c r="O528" s="12">
        <f>IF(tb_rechnungen[[#This Row],[Re-Datum]]&gt;0,MONTH(tb_rechnungen[[#This Row],[Re-Datum]]),"")</f>
        <v/>
      </c>
      <c r="P528" s="13">
        <f>IF(tb_rechnungen[[#This Row],[Re-Datum]]&gt;0,YEAR(tb_rechnungen[[#This Row],[Re-Datum]]),"")</f>
        <v/>
      </c>
      <c r="Q528" s="19">
        <f>IF(tb_rechnungen[[#This Row],[Brutto]]&lt;&gt;0,tb_rechnungen[[#This Row],[Brutto]]-tb_rechnungen[[#This Row],[Netto]],"")</f>
        <v/>
      </c>
      <c r="R528" s="37">
        <f>IF(tb_rechnungen[[#This Row],[Netto]]&lt;&gt;0,ROUND(tb_rechnungen[[#This Row],[Steuer]]/tb_rechnungen[[#This Row],[Netto]],2),"")</f>
        <v/>
      </c>
    </row>
    <row r="529">
      <c r="A529" s="26" t="n"/>
      <c r="B529" s="27" t="n"/>
      <c r="C529" s="28" t="n"/>
      <c r="D529" s="28" t="n"/>
      <c r="E529" s="27" t="n"/>
      <c r="F529" s="29" t="n"/>
      <c r="G529" s="29" t="n"/>
      <c r="H529" s="30" t="n"/>
      <c r="I529" s="30" t="n"/>
      <c r="J529" s="30" t="n"/>
      <c r="K529" s="50" t="n"/>
      <c r="L529" s="50" t="n"/>
      <c r="M529" s="67" t="n"/>
      <c r="N529" s="30" t="n"/>
      <c r="O529" s="12">
        <f>IF(tb_rechnungen[[#This Row],[Re-Datum]]&gt;0,MONTH(tb_rechnungen[[#This Row],[Re-Datum]]),"")</f>
        <v/>
      </c>
      <c r="P529" s="13">
        <f>IF(tb_rechnungen[[#This Row],[Re-Datum]]&gt;0,YEAR(tb_rechnungen[[#This Row],[Re-Datum]]),"")</f>
        <v/>
      </c>
      <c r="Q529" s="19">
        <f>IF(tb_rechnungen[[#This Row],[Brutto]]&lt;&gt;0,tb_rechnungen[[#This Row],[Brutto]]-tb_rechnungen[[#This Row],[Netto]],"")</f>
        <v/>
      </c>
      <c r="R529" s="37">
        <f>IF(tb_rechnungen[[#This Row],[Netto]]&lt;&gt;0,ROUND(tb_rechnungen[[#This Row],[Steuer]]/tb_rechnungen[[#This Row],[Netto]],2),"")</f>
        <v/>
      </c>
    </row>
    <row r="530">
      <c r="A530" s="26" t="n"/>
      <c r="B530" s="27" t="n"/>
      <c r="C530" s="28" t="n"/>
      <c r="D530" s="28" t="n"/>
      <c r="E530" s="27" t="n"/>
      <c r="F530" s="29" t="n"/>
      <c r="G530" s="29" t="n"/>
      <c r="H530" s="30" t="n"/>
      <c r="I530" s="30" t="n"/>
      <c r="J530" s="30" t="n"/>
      <c r="K530" s="50" t="n"/>
      <c r="L530" s="50" t="n"/>
      <c r="M530" s="67" t="n"/>
      <c r="N530" s="30" t="n"/>
      <c r="O530" s="12">
        <f>IF(tb_rechnungen[[#This Row],[Re-Datum]]&gt;0,MONTH(tb_rechnungen[[#This Row],[Re-Datum]]),"")</f>
        <v/>
      </c>
      <c r="P530" s="13">
        <f>IF(tb_rechnungen[[#This Row],[Re-Datum]]&gt;0,YEAR(tb_rechnungen[[#This Row],[Re-Datum]]),"")</f>
        <v/>
      </c>
      <c r="Q530" s="19">
        <f>IF(tb_rechnungen[[#This Row],[Brutto]]&lt;&gt;0,tb_rechnungen[[#This Row],[Brutto]]-tb_rechnungen[[#This Row],[Netto]],"")</f>
        <v/>
      </c>
      <c r="R530" s="37">
        <f>IF(tb_rechnungen[[#This Row],[Netto]]&lt;&gt;0,ROUND(tb_rechnungen[[#This Row],[Steuer]]/tb_rechnungen[[#This Row],[Netto]],2),"")</f>
        <v/>
      </c>
    </row>
    <row r="531">
      <c r="A531" s="26" t="n"/>
      <c r="B531" s="27" t="n"/>
      <c r="C531" s="28" t="n"/>
      <c r="D531" s="28" t="n"/>
      <c r="E531" s="27" t="n"/>
      <c r="F531" s="29" t="n"/>
      <c r="G531" s="29" t="n"/>
      <c r="H531" s="30" t="n"/>
      <c r="I531" s="30" t="n"/>
      <c r="J531" s="30" t="n"/>
      <c r="K531" s="50" t="n"/>
      <c r="L531" s="50" t="n"/>
      <c r="M531" s="67" t="n"/>
      <c r="N531" s="30" t="n"/>
      <c r="O531" s="12">
        <f>IF(tb_rechnungen[[#This Row],[Re-Datum]]&gt;0,MONTH(tb_rechnungen[[#This Row],[Re-Datum]]),"")</f>
        <v/>
      </c>
      <c r="P531" s="13">
        <f>IF(tb_rechnungen[[#This Row],[Re-Datum]]&gt;0,YEAR(tb_rechnungen[[#This Row],[Re-Datum]]),"")</f>
        <v/>
      </c>
      <c r="Q531" s="19">
        <f>IF(tb_rechnungen[[#This Row],[Brutto]]&lt;&gt;0,tb_rechnungen[[#This Row],[Brutto]]-tb_rechnungen[[#This Row],[Netto]],"")</f>
        <v/>
      </c>
      <c r="R531" s="37">
        <f>IF(tb_rechnungen[[#This Row],[Netto]]&lt;&gt;0,ROUND(tb_rechnungen[[#This Row],[Steuer]]/tb_rechnungen[[#This Row],[Netto]],2),"")</f>
        <v/>
      </c>
    </row>
    <row r="532">
      <c r="A532" s="26" t="n"/>
      <c r="B532" s="27" t="n"/>
      <c r="C532" s="28" t="n"/>
      <c r="D532" s="28" t="n"/>
      <c r="E532" s="27" t="n"/>
      <c r="F532" s="29" t="n"/>
      <c r="G532" s="29" t="n"/>
      <c r="H532" s="30" t="n"/>
      <c r="I532" s="30" t="n"/>
      <c r="J532" s="30" t="n"/>
      <c r="K532" s="50" t="n"/>
      <c r="L532" s="50" t="n"/>
      <c r="M532" s="67" t="n"/>
      <c r="N532" s="30" t="n"/>
      <c r="O532" s="12">
        <f>IF(tb_rechnungen[[#This Row],[Re-Datum]]&gt;0,MONTH(tb_rechnungen[[#This Row],[Re-Datum]]),"")</f>
        <v/>
      </c>
      <c r="P532" s="13">
        <f>IF(tb_rechnungen[[#This Row],[Re-Datum]]&gt;0,YEAR(tb_rechnungen[[#This Row],[Re-Datum]]),"")</f>
        <v/>
      </c>
      <c r="Q532" s="19">
        <f>IF(tb_rechnungen[[#This Row],[Brutto]]&lt;&gt;0,tb_rechnungen[[#This Row],[Brutto]]-tb_rechnungen[[#This Row],[Netto]],"")</f>
        <v/>
      </c>
      <c r="R532" s="37">
        <f>IF(tb_rechnungen[[#This Row],[Netto]]&lt;&gt;0,ROUND(tb_rechnungen[[#This Row],[Steuer]]/tb_rechnungen[[#This Row],[Netto]],2),"")</f>
        <v/>
      </c>
    </row>
    <row r="533">
      <c r="A533" s="26" t="n"/>
      <c r="B533" s="27" t="n"/>
      <c r="C533" s="28" t="n"/>
      <c r="D533" s="28" t="n"/>
      <c r="E533" s="27" t="n"/>
      <c r="F533" s="29" t="n"/>
      <c r="G533" s="29" t="n"/>
      <c r="H533" s="30" t="n"/>
      <c r="I533" s="30" t="n"/>
      <c r="J533" s="30" t="n"/>
      <c r="K533" s="50" t="n"/>
      <c r="L533" s="50" t="n"/>
      <c r="M533" s="67" t="n"/>
      <c r="N533" s="30" t="n"/>
      <c r="O533" s="12">
        <f>IF(tb_rechnungen[[#This Row],[Re-Datum]]&gt;0,MONTH(tb_rechnungen[[#This Row],[Re-Datum]]),"")</f>
        <v/>
      </c>
      <c r="P533" s="13">
        <f>IF(tb_rechnungen[[#This Row],[Re-Datum]]&gt;0,YEAR(tb_rechnungen[[#This Row],[Re-Datum]]),"")</f>
        <v/>
      </c>
      <c r="Q533" s="19">
        <f>IF(tb_rechnungen[[#This Row],[Brutto]]&lt;&gt;0,tb_rechnungen[[#This Row],[Brutto]]-tb_rechnungen[[#This Row],[Netto]],"")</f>
        <v/>
      </c>
      <c r="R533" s="37">
        <f>IF(tb_rechnungen[[#This Row],[Netto]]&lt;&gt;0,ROUND(tb_rechnungen[[#This Row],[Steuer]]/tb_rechnungen[[#This Row],[Netto]],2),"")</f>
        <v/>
      </c>
    </row>
    <row r="534">
      <c r="A534" s="26" t="n"/>
      <c r="B534" s="27" t="n"/>
      <c r="C534" s="28" t="n"/>
      <c r="D534" s="28" t="n"/>
      <c r="E534" s="27" t="n"/>
      <c r="F534" s="29" t="n"/>
      <c r="G534" s="29" t="n"/>
      <c r="H534" s="30" t="n"/>
      <c r="I534" s="30" t="n"/>
      <c r="J534" s="30" t="n"/>
      <c r="K534" s="50" t="n"/>
      <c r="L534" s="50" t="n"/>
      <c r="M534" s="67" t="n"/>
      <c r="N534" s="30" t="n"/>
      <c r="O534" s="12">
        <f>IF(tb_rechnungen[[#This Row],[Re-Datum]]&gt;0,MONTH(tb_rechnungen[[#This Row],[Re-Datum]]),"")</f>
        <v/>
      </c>
      <c r="P534" s="13">
        <f>IF(tb_rechnungen[[#This Row],[Re-Datum]]&gt;0,YEAR(tb_rechnungen[[#This Row],[Re-Datum]]),"")</f>
        <v/>
      </c>
      <c r="Q534" s="19">
        <f>IF(tb_rechnungen[[#This Row],[Brutto]]&lt;&gt;0,tb_rechnungen[[#This Row],[Brutto]]-tb_rechnungen[[#This Row],[Netto]],"")</f>
        <v/>
      </c>
      <c r="R534" s="37">
        <f>IF(tb_rechnungen[[#This Row],[Netto]]&lt;&gt;0,ROUND(tb_rechnungen[[#This Row],[Steuer]]/tb_rechnungen[[#This Row],[Netto]],2),"")</f>
        <v/>
      </c>
    </row>
    <row r="535">
      <c r="A535" s="26" t="n"/>
      <c r="B535" s="27" t="n"/>
      <c r="C535" s="28" t="n"/>
      <c r="D535" s="28" t="n"/>
      <c r="E535" s="27" t="n"/>
      <c r="F535" s="29" t="n"/>
      <c r="G535" s="29" t="n"/>
      <c r="H535" s="30" t="n"/>
      <c r="I535" s="30" t="n"/>
      <c r="J535" s="30" t="n"/>
      <c r="K535" s="50" t="n"/>
      <c r="L535" s="50" t="n"/>
      <c r="M535" s="67" t="n"/>
      <c r="N535" s="30" t="n"/>
      <c r="O535" s="12">
        <f>IF(tb_rechnungen[[#This Row],[Re-Datum]]&gt;0,MONTH(tb_rechnungen[[#This Row],[Re-Datum]]),"")</f>
        <v/>
      </c>
      <c r="P535" s="13">
        <f>IF(tb_rechnungen[[#This Row],[Re-Datum]]&gt;0,YEAR(tb_rechnungen[[#This Row],[Re-Datum]]),"")</f>
        <v/>
      </c>
      <c r="Q535" s="19">
        <f>IF(tb_rechnungen[[#This Row],[Brutto]]&lt;&gt;0,tb_rechnungen[[#This Row],[Brutto]]-tb_rechnungen[[#This Row],[Netto]],"")</f>
        <v/>
      </c>
      <c r="R535" s="37">
        <f>IF(tb_rechnungen[[#This Row],[Netto]]&lt;&gt;0,ROUND(tb_rechnungen[[#This Row],[Steuer]]/tb_rechnungen[[#This Row],[Netto]],2),"")</f>
        <v/>
      </c>
    </row>
    <row r="536">
      <c r="A536" s="26" t="n"/>
      <c r="B536" s="27" t="n"/>
      <c r="C536" s="28" t="n"/>
      <c r="D536" s="28" t="n"/>
      <c r="E536" s="27" t="n"/>
      <c r="F536" s="29" t="n"/>
      <c r="G536" s="29" t="n"/>
      <c r="H536" s="30" t="n"/>
      <c r="I536" s="30" t="n"/>
      <c r="J536" s="30" t="n"/>
      <c r="K536" s="50" t="n"/>
      <c r="L536" s="50" t="n"/>
      <c r="M536" s="67" t="n"/>
      <c r="N536" s="30" t="n"/>
      <c r="O536" s="12">
        <f>IF(tb_rechnungen[[#This Row],[Re-Datum]]&gt;0,MONTH(tb_rechnungen[[#This Row],[Re-Datum]]),"")</f>
        <v/>
      </c>
      <c r="P536" s="13">
        <f>IF(tb_rechnungen[[#This Row],[Re-Datum]]&gt;0,YEAR(tb_rechnungen[[#This Row],[Re-Datum]]),"")</f>
        <v/>
      </c>
      <c r="Q536" s="19">
        <f>IF(tb_rechnungen[[#This Row],[Brutto]]&lt;&gt;0,tb_rechnungen[[#This Row],[Brutto]]-tb_rechnungen[[#This Row],[Netto]],"")</f>
        <v/>
      </c>
      <c r="R536" s="37">
        <f>IF(tb_rechnungen[[#This Row],[Netto]]&lt;&gt;0,ROUND(tb_rechnungen[[#This Row],[Steuer]]/tb_rechnungen[[#This Row],[Netto]],2),"")</f>
        <v/>
      </c>
    </row>
    <row r="537">
      <c r="A537" s="26" t="n"/>
      <c r="B537" s="27" t="n"/>
      <c r="C537" s="28" t="n"/>
      <c r="D537" s="28" t="n"/>
      <c r="E537" s="27" t="n"/>
      <c r="F537" s="29" t="n"/>
      <c r="G537" s="29" t="n"/>
      <c r="H537" s="30" t="n"/>
      <c r="I537" s="30" t="n"/>
      <c r="J537" s="30" t="n"/>
      <c r="K537" s="50" t="n"/>
      <c r="L537" s="50" t="n"/>
      <c r="M537" s="67" t="n"/>
      <c r="N537" s="30" t="n"/>
      <c r="O537" s="12">
        <f>IF(tb_rechnungen[[#This Row],[Re-Datum]]&gt;0,MONTH(tb_rechnungen[[#This Row],[Re-Datum]]),"")</f>
        <v/>
      </c>
      <c r="P537" s="13">
        <f>IF(tb_rechnungen[[#This Row],[Re-Datum]]&gt;0,YEAR(tb_rechnungen[[#This Row],[Re-Datum]]),"")</f>
        <v/>
      </c>
      <c r="Q537" s="19">
        <f>IF(tb_rechnungen[[#This Row],[Brutto]]&lt;&gt;0,tb_rechnungen[[#This Row],[Brutto]]-tb_rechnungen[[#This Row],[Netto]],"")</f>
        <v/>
      </c>
      <c r="R537" s="37">
        <f>IF(tb_rechnungen[[#This Row],[Netto]]&lt;&gt;0,ROUND(tb_rechnungen[[#This Row],[Steuer]]/tb_rechnungen[[#This Row],[Netto]],2),"")</f>
        <v/>
      </c>
    </row>
    <row r="538">
      <c r="A538" s="26" t="n"/>
      <c r="B538" s="27" t="n"/>
      <c r="C538" s="28" t="n"/>
      <c r="D538" s="28" t="n"/>
      <c r="E538" s="27" t="n"/>
      <c r="F538" s="29" t="n"/>
      <c r="G538" s="29" t="n"/>
      <c r="H538" s="30" t="n"/>
      <c r="I538" s="30" t="n"/>
      <c r="J538" s="30" t="n"/>
      <c r="K538" s="50" t="n"/>
      <c r="L538" s="50" t="n"/>
      <c r="M538" s="67" t="n"/>
      <c r="N538" s="30" t="n"/>
      <c r="O538" s="12">
        <f>IF(tb_rechnungen[[#This Row],[Re-Datum]]&gt;0,MONTH(tb_rechnungen[[#This Row],[Re-Datum]]),"")</f>
        <v/>
      </c>
      <c r="P538" s="13">
        <f>IF(tb_rechnungen[[#This Row],[Re-Datum]]&gt;0,YEAR(tb_rechnungen[[#This Row],[Re-Datum]]),"")</f>
        <v/>
      </c>
      <c r="Q538" s="19">
        <f>IF(tb_rechnungen[[#This Row],[Brutto]]&lt;&gt;0,tb_rechnungen[[#This Row],[Brutto]]-tb_rechnungen[[#This Row],[Netto]],"")</f>
        <v/>
      </c>
      <c r="R538" s="37">
        <f>IF(tb_rechnungen[[#This Row],[Netto]]&lt;&gt;0,ROUND(tb_rechnungen[[#This Row],[Steuer]]/tb_rechnungen[[#This Row],[Netto]],2),"")</f>
        <v/>
      </c>
    </row>
    <row r="539">
      <c r="A539" s="26" t="n"/>
      <c r="B539" s="27" t="n"/>
      <c r="C539" s="28" t="n"/>
      <c r="D539" s="28" t="n"/>
      <c r="E539" s="27" t="n"/>
      <c r="F539" s="29" t="n"/>
      <c r="G539" s="29" t="n"/>
      <c r="H539" s="30" t="n"/>
      <c r="I539" s="30" t="n"/>
      <c r="J539" s="30" t="n"/>
      <c r="K539" s="50" t="n"/>
      <c r="L539" s="50" t="n"/>
      <c r="M539" s="67" t="n"/>
      <c r="N539" s="30" t="n"/>
      <c r="O539" s="12">
        <f>IF(tb_rechnungen[[#This Row],[Re-Datum]]&gt;0,MONTH(tb_rechnungen[[#This Row],[Re-Datum]]),"")</f>
        <v/>
      </c>
      <c r="P539" s="13">
        <f>IF(tb_rechnungen[[#This Row],[Re-Datum]]&gt;0,YEAR(tb_rechnungen[[#This Row],[Re-Datum]]),"")</f>
        <v/>
      </c>
      <c r="Q539" s="19">
        <f>IF(tb_rechnungen[[#This Row],[Brutto]]&lt;&gt;0,tb_rechnungen[[#This Row],[Brutto]]-tb_rechnungen[[#This Row],[Netto]],"")</f>
        <v/>
      </c>
      <c r="R539" s="37">
        <f>IF(tb_rechnungen[[#This Row],[Netto]]&lt;&gt;0,ROUND(tb_rechnungen[[#This Row],[Steuer]]/tb_rechnungen[[#This Row],[Netto]],2),"")</f>
        <v/>
      </c>
    </row>
    <row r="540">
      <c r="A540" s="26" t="n"/>
      <c r="B540" s="27" t="n"/>
      <c r="C540" s="28" t="n"/>
      <c r="D540" s="28" t="n"/>
      <c r="E540" s="27" t="n"/>
      <c r="F540" s="29" t="n"/>
      <c r="G540" s="29" t="n"/>
      <c r="H540" s="30" t="n"/>
      <c r="I540" s="30" t="n"/>
      <c r="J540" s="30" t="n"/>
      <c r="K540" s="50" t="n"/>
      <c r="L540" s="50" t="n"/>
      <c r="M540" s="67" t="n"/>
      <c r="N540" s="30" t="n"/>
      <c r="O540" s="12">
        <f>IF(tb_rechnungen[[#This Row],[Re-Datum]]&gt;0,MONTH(tb_rechnungen[[#This Row],[Re-Datum]]),"")</f>
        <v/>
      </c>
      <c r="P540" s="13">
        <f>IF(tb_rechnungen[[#This Row],[Re-Datum]]&gt;0,YEAR(tb_rechnungen[[#This Row],[Re-Datum]]),"")</f>
        <v/>
      </c>
      <c r="Q540" s="19">
        <f>IF(tb_rechnungen[[#This Row],[Brutto]]&lt;&gt;0,tb_rechnungen[[#This Row],[Brutto]]-tb_rechnungen[[#This Row],[Netto]],"")</f>
        <v/>
      </c>
      <c r="R540" s="37">
        <f>IF(tb_rechnungen[[#This Row],[Netto]]&lt;&gt;0,ROUND(tb_rechnungen[[#This Row],[Steuer]]/tb_rechnungen[[#This Row],[Netto]],2),"")</f>
        <v/>
      </c>
    </row>
    <row r="541">
      <c r="A541" s="26" t="n"/>
      <c r="B541" s="27" t="n"/>
      <c r="C541" s="28" t="n"/>
      <c r="D541" s="28" t="n"/>
      <c r="E541" s="27" t="n"/>
      <c r="F541" s="29" t="n"/>
      <c r="G541" s="29" t="n"/>
      <c r="H541" s="30" t="n"/>
      <c r="I541" s="30" t="n"/>
      <c r="J541" s="30" t="n"/>
      <c r="K541" s="50" t="n"/>
      <c r="L541" s="50" t="n"/>
      <c r="M541" s="67" t="n"/>
      <c r="N541" s="30" t="n"/>
      <c r="O541" s="12">
        <f>IF(tb_rechnungen[[#This Row],[Re-Datum]]&gt;0,MONTH(tb_rechnungen[[#This Row],[Re-Datum]]),"")</f>
        <v/>
      </c>
      <c r="P541" s="13">
        <f>IF(tb_rechnungen[[#This Row],[Re-Datum]]&gt;0,YEAR(tb_rechnungen[[#This Row],[Re-Datum]]),"")</f>
        <v/>
      </c>
      <c r="Q541" s="19">
        <f>IF(tb_rechnungen[[#This Row],[Brutto]]&lt;&gt;0,tb_rechnungen[[#This Row],[Brutto]]-tb_rechnungen[[#This Row],[Netto]],"")</f>
        <v/>
      </c>
      <c r="R541" s="37">
        <f>IF(tb_rechnungen[[#This Row],[Netto]]&lt;&gt;0,ROUND(tb_rechnungen[[#This Row],[Steuer]]/tb_rechnungen[[#This Row],[Netto]],2),"")</f>
        <v/>
      </c>
    </row>
    <row r="542">
      <c r="A542" s="26" t="n"/>
      <c r="B542" s="27" t="n"/>
      <c r="C542" s="28" t="n"/>
      <c r="D542" s="28" t="n"/>
      <c r="E542" s="27" t="n"/>
      <c r="F542" s="29" t="n"/>
      <c r="G542" s="29" t="n"/>
      <c r="H542" s="30" t="n"/>
      <c r="I542" s="30" t="n"/>
      <c r="J542" s="30" t="n"/>
      <c r="K542" s="50" t="n"/>
      <c r="L542" s="50" t="n"/>
      <c r="M542" s="67" t="n"/>
      <c r="N542" s="30" t="n"/>
      <c r="O542" s="12">
        <f>IF(tb_rechnungen[[#This Row],[Re-Datum]]&gt;0,MONTH(tb_rechnungen[[#This Row],[Re-Datum]]),"")</f>
        <v/>
      </c>
      <c r="P542" s="13">
        <f>IF(tb_rechnungen[[#This Row],[Re-Datum]]&gt;0,YEAR(tb_rechnungen[[#This Row],[Re-Datum]]),"")</f>
        <v/>
      </c>
      <c r="Q542" s="19">
        <f>IF(tb_rechnungen[[#This Row],[Brutto]]&lt;&gt;0,tb_rechnungen[[#This Row],[Brutto]]-tb_rechnungen[[#This Row],[Netto]],"")</f>
        <v/>
      </c>
      <c r="R542" s="37">
        <f>IF(tb_rechnungen[[#This Row],[Netto]]&lt;&gt;0,ROUND(tb_rechnungen[[#This Row],[Steuer]]/tb_rechnungen[[#This Row],[Netto]],2),"")</f>
        <v/>
      </c>
    </row>
    <row r="543">
      <c r="A543" s="26" t="n"/>
      <c r="B543" s="27" t="n"/>
      <c r="C543" s="28" t="n"/>
      <c r="D543" s="28" t="n"/>
      <c r="E543" s="27" t="n"/>
      <c r="F543" s="29" t="n"/>
      <c r="G543" s="29" t="n"/>
      <c r="H543" s="30" t="n"/>
      <c r="I543" s="30" t="n"/>
      <c r="J543" s="30" t="n"/>
      <c r="K543" s="50" t="n"/>
      <c r="L543" s="50" t="n"/>
      <c r="M543" s="67" t="n"/>
      <c r="N543" s="30" t="n"/>
      <c r="O543" s="12">
        <f>IF(tb_rechnungen[[#This Row],[Re-Datum]]&gt;0,MONTH(tb_rechnungen[[#This Row],[Re-Datum]]),"")</f>
        <v/>
      </c>
      <c r="P543" s="13">
        <f>IF(tb_rechnungen[[#This Row],[Re-Datum]]&gt;0,YEAR(tb_rechnungen[[#This Row],[Re-Datum]]),"")</f>
        <v/>
      </c>
      <c r="Q543" s="19">
        <f>IF(tb_rechnungen[[#This Row],[Brutto]]&lt;&gt;0,tb_rechnungen[[#This Row],[Brutto]]-tb_rechnungen[[#This Row],[Netto]],"")</f>
        <v/>
      </c>
      <c r="R543" s="37">
        <f>IF(tb_rechnungen[[#This Row],[Netto]]&lt;&gt;0,ROUND(tb_rechnungen[[#This Row],[Steuer]]/tb_rechnungen[[#This Row],[Netto]],2),"")</f>
        <v/>
      </c>
    </row>
    <row r="544">
      <c r="A544" s="26" t="n"/>
      <c r="B544" s="27" t="n"/>
      <c r="C544" s="28" t="n"/>
      <c r="D544" s="28" t="n"/>
      <c r="E544" s="27" t="n"/>
      <c r="F544" s="29" t="n"/>
      <c r="G544" s="29" t="n"/>
      <c r="H544" s="30" t="n"/>
      <c r="I544" s="30" t="n"/>
      <c r="J544" s="30" t="n"/>
      <c r="K544" s="50" t="n"/>
      <c r="L544" s="50" t="n"/>
      <c r="M544" s="67" t="n"/>
      <c r="N544" s="30" t="n"/>
      <c r="O544" s="12">
        <f>IF(tb_rechnungen[[#This Row],[Re-Datum]]&gt;0,MONTH(tb_rechnungen[[#This Row],[Re-Datum]]),"")</f>
        <v/>
      </c>
      <c r="P544" s="13">
        <f>IF(tb_rechnungen[[#This Row],[Re-Datum]]&gt;0,YEAR(tb_rechnungen[[#This Row],[Re-Datum]]),"")</f>
        <v/>
      </c>
      <c r="Q544" s="19">
        <f>IF(tb_rechnungen[[#This Row],[Brutto]]&lt;&gt;0,tb_rechnungen[[#This Row],[Brutto]]-tb_rechnungen[[#This Row],[Netto]],"")</f>
        <v/>
      </c>
      <c r="R544" s="37">
        <f>IF(tb_rechnungen[[#This Row],[Netto]]&lt;&gt;0,ROUND(tb_rechnungen[[#This Row],[Steuer]]/tb_rechnungen[[#This Row],[Netto]],2),"")</f>
        <v/>
      </c>
    </row>
    <row r="545">
      <c r="A545" s="26" t="n"/>
      <c r="B545" s="27" t="n"/>
      <c r="C545" s="28" t="n"/>
      <c r="D545" s="28" t="n"/>
      <c r="E545" s="27" t="n"/>
      <c r="F545" s="29" t="n"/>
      <c r="G545" s="29" t="n"/>
      <c r="H545" s="30" t="n"/>
      <c r="I545" s="30" t="n"/>
      <c r="J545" s="30" t="n"/>
      <c r="K545" s="50" t="n"/>
      <c r="L545" s="50" t="n"/>
      <c r="M545" s="67" t="n"/>
      <c r="N545" s="30" t="n"/>
      <c r="O545" s="12">
        <f>IF(tb_rechnungen[[#This Row],[Re-Datum]]&gt;0,MONTH(tb_rechnungen[[#This Row],[Re-Datum]]),"")</f>
        <v/>
      </c>
      <c r="P545" s="13">
        <f>IF(tb_rechnungen[[#This Row],[Re-Datum]]&gt;0,YEAR(tb_rechnungen[[#This Row],[Re-Datum]]),"")</f>
        <v/>
      </c>
      <c r="Q545" s="19">
        <f>IF(tb_rechnungen[[#This Row],[Brutto]]&lt;&gt;0,tb_rechnungen[[#This Row],[Brutto]]-tb_rechnungen[[#This Row],[Netto]],"")</f>
        <v/>
      </c>
      <c r="R545" s="37">
        <f>IF(tb_rechnungen[[#This Row],[Netto]]&lt;&gt;0,ROUND(tb_rechnungen[[#This Row],[Steuer]]/tb_rechnungen[[#This Row],[Netto]],2),"")</f>
        <v/>
      </c>
    </row>
    <row r="546">
      <c r="A546" s="26" t="n"/>
      <c r="B546" s="27" t="n"/>
      <c r="C546" s="28" t="n"/>
      <c r="D546" s="28" t="n"/>
      <c r="E546" s="27" t="n"/>
      <c r="F546" s="29" t="n"/>
      <c r="G546" s="29" t="n"/>
      <c r="H546" s="30" t="n"/>
      <c r="I546" s="30" t="n"/>
      <c r="J546" s="30" t="n"/>
      <c r="K546" s="50" t="n"/>
      <c r="L546" s="50" t="n"/>
      <c r="M546" s="67" t="n"/>
      <c r="N546" s="30" t="n"/>
      <c r="O546" s="12">
        <f>IF(tb_rechnungen[[#This Row],[Re-Datum]]&gt;0,MONTH(tb_rechnungen[[#This Row],[Re-Datum]]),"")</f>
        <v/>
      </c>
      <c r="P546" s="13">
        <f>IF(tb_rechnungen[[#This Row],[Re-Datum]]&gt;0,YEAR(tb_rechnungen[[#This Row],[Re-Datum]]),"")</f>
        <v/>
      </c>
      <c r="Q546" s="19">
        <f>IF(tb_rechnungen[[#This Row],[Brutto]]&lt;&gt;0,tb_rechnungen[[#This Row],[Brutto]]-tb_rechnungen[[#This Row],[Netto]],"")</f>
        <v/>
      </c>
      <c r="R546" s="37">
        <f>IF(tb_rechnungen[[#This Row],[Netto]]&lt;&gt;0,ROUND(tb_rechnungen[[#This Row],[Steuer]]/tb_rechnungen[[#This Row],[Netto]],2),"")</f>
        <v/>
      </c>
    </row>
    <row r="547">
      <c r="A547" s="26" t="n"/>
      <c r="B547" s="27" t="n"/>
      <c r="C547" s="28" t="n"/>
      <c r="D547" s="28" t="n"/>
      <c r="E547" s="27" t="n"/>
      <c r="F547" s="29" t="n"/>
      <c r="G547" s="29" t="n"/>
      <c r="H547" s="30" t="n"/>
      <c r="I547" s="30" t="n"/>
      <c r="J547" s="30" t="n"/>
      <c r="K547" s="50" t="n"/>
      <c r="L547" s="50" t="n"/>
      <c r="M547" s="67" t="n"/>
      <c r="N547" s="30" t="n"/>
      <c r="O547" s="12">
        <f>IF(tb_rechnungen[[#This Row],[Re-Datum]]&gt;0,MONTH(tb_rechnungen[[#This Row],[Re-Datum]]),"")</f>
        <v/>
      </c>
      <c r="P547" s="13">
        <f>IF(tb_rechnungen[[#This Row],[Re-Datum]]&gt;0,YEAR(tb_rechnungen[[#This Row],[Re-Datum]]),"")</f>
        <v/>
      </c>
      <c r="Q547" s="19">
        <f>IF(tb_rechnungen[[#This Row],[Brutto]]&lt;&gt;0,tb_rechnungen[[#This Row],[Brutto]]-tb_rechnungen[[#This Row],[Netto]],"")</f>
        <v/>
      </c>
      <c r="R547" s="37">
        <f>IF(tb_rechnungen[[#This Row],[Netto]]&lt;&gt;0,ROUND(tb_rechnungen[[#This Row],[Steuer]]/tb_rechnungen[[#This Row],[Netto]],2),"")</f>
        <v/>
      </c>
    </row>
    <row r="548">
      <c r="A548" s="26" t="n"/>
      <c r="B548" s="27" t="n"/>
      <c r="C548" s="28" t="n"/>
      <c r="D548" s="28" t="n"/>
      <c r="E548" s="27" t="n"/>
      <c r="F548" s="29" t="n"/>
      <c r="G548" s="29" t="n"/>
      <c r="H548" s="30" t="n"/>
      <c r="I548" s="30" t="n"/>
      <c r="J548" s="30" t="n"/>
      <c r="K548" s="50" t="n"/>
      <c r="L548" s="50" t="n"/>
      <c r="M548" s="67" t="n"/>
      <c r="N548" s="30" t="n"/>
      <c r="O548" s="12">
        <f>IF(tb_rechnungen[[#This Row],[Re-Datum]]&gt;0,MONTH(tb_rechnungen[[#This Row],[Re-Datum]]),"")</f>
        <v/>
      </c>
      <c r="P548" s="13">
        <f>IF(tb_rechnungen[[#This Row],[Re-Datum]]&gt;0,YEAR(tb_rechnungen[[#This Row],[Re-Datum]]),"")</f>
        <v/>
      </c>
      <c r="Q548" s="19">
        <f>IF(tb_rechnungen[[#This Row],[Brutto]]&lt;&gt;0,tb_rechnungen[[#This Row],[Brutto]]-tb_rechnungen[[#This Row],[Netto]],"")</f>
        <v/>
      </c>
      <c r="R548" s="37">
        <f>IF(tb_rechnungen[[#This Row],[Netto]]&lt;&gt;0,ROUND(tb_rechnungen[[#This Row],[Steuer]]/tb_rechnungen[[#This Row],[Netto]],2),"")</f>
        <v/>
      </c>
    </row>
    <row r="549">
      <c r="A549" s="26" t="n"/>
      <c r="B549" s="27" t="n"/>
      <c r="C549" s="28" t="n"/>
      <c r="D549" s="28" t="n"/>
      <c r="E549" s="27" t="n"/>
      <c r="F549" s="29" t="n"/>
      <c r="G549" s="29" t="n"/>
      <c r="H549" s="30" t="n"/>
      <c r="I549" s="30" t="n"/>
      <c r="J549" s="30" t="n"/>
      <c r="K549" s="50" t="n"/>
      <c r="L549" s="50" t="n"/>
      <c r="M549" s="67" t="n"/>
      <c r="N549" s="30" t="n"/>
      <c r="O549" s="12">
        <f>IF(tb_rechnungen[[#This Row],[Re-Datum]]&gt;0,MONTH(tb_rechnungen[[#This Row],[Re-Datum]]),"")</f>
        <v/>
      </c>
      <c r="P549" s="13">
        <f>IF(tb_rechnungen[[#This Row],[Re-Datum]]&gt;0,YEAR(tb_rechnungen[[#This Row],[Re-Datum]]),"")</f>
        <v/>
      </c>
      <c r="Q549" s="19">
        <f>IF(tb_rechnungen[[#This Row],[Brutto]]&lt;&gt;0,tb_rechnungen[[#This Row],[Brutto]]-tb_rechnungen[[#This Row],[Netto]],"")</f>
        <v/>
      </c>
      <c r="R549" s="37">
        <f>IF(tb_rechnungen[[#This Row],[Netto]]&lt;&gt;0,ROUND(tb_rechnungen[[#This Row],[Steuer]]/tb_rechnungen[[#This Row],[Netto]],2),"")</f>
        <v/>
      </c>
    </row>
    <row r="550">
      <c r="A550" s="26" t="n"/>
      <c r="B550" s="27" t="n"/>
      <c r="C550" s="28" t="n"/>
      <c r="D550" s="28" t="n"/>
      <c r="E550" s="27" t="n"/>
      <c r="F550" s="29" t="n"/>
      <c r="G550" s="29" t="n"/>
      <c r="H550" s="30" t="n"/>
      <c r="I550" s="30" t="n"/>
      <c r="J550" s="30" t="n"/>
      <c r="K550" s="50" t="n"/>
      <c r="L550" s="50" t="n"/>
      <c r="M550" s="67" t="n"/>
      <c r="N550" s="30" t="n"/>
      <c r="O550" s="12">
        <f>IF(tb_rechnungen[[#This Row],[Re-Datum]]&gt;0,MONTH(tb_rechnungen[[#This Row],[Re-Datum]]),"")</f>
        <v/>
      </c>
      <c r="P550" s="13">
        <f>IF(tb_rechnungen[[#This Row],[Re-Datum]]&gt;0,YEAR(tb_rechnungen[[#This Row],[Re-Datum]]),"")</f>
        <v/>
      </c>
      <c r="Q550" s="19">
        <f>IF(tb_rechnungen[[#This Row],[Brutto]]&lt;&gt;0,tb_rechnungen[[#This Row],[Brutto]]-tb_rechnungen[[#This Row],[Netto]],"")</f>
        <v/>
      </c>
      <c r="R550" s="37">
        <f>IF(tb_rechnungen[[#This Row],[Netto]]&lt;&gt;0,ROUND(tb_rechnungen[[#This Row],[Steuer]]/tb_rechnungen[[#This Row],[Netto]],2),"")</f>
        <v/>
      </c>
    </row>
    <row r="551">
      <c r="A551" s="26" t="n"/>
      <c r="B551" s="27" t="n"/>
      <c r="C551" s="28" t="n"/>
      <c r="D551" s="28" t="n"/>
      <c r="E551" s="27" t="n"/>
      <c r="F551" s="29" t="n"/>
      <c r="G551" s="29" t="n"/>
      <c r="H551" s="30" t="n"/>
      <c r="I551" s="30" t="n"/>
      <c r="J551" s="30" t="n"/>
      <c r="K551" s="50" t="n"/>
      <c r="L551" s="50" t="n"/>
      <c r="M551" s="67" t="n"/>
      <c r="N551" s="30" t="n"/>
      <c r="O551" s="12">
        <f>IF(tb_rechnungen[[#This Row],[Re-Datum]]&gt;0,MONTH(tb_rechnungen[[#This Row],[Re-Datum]]),"")</f>
        <v/>
      </c>
      <c r="P551" s="13">
        <f>IF(tb_rechnungen[[#This Row],[Re-Datum]]&gt;0,YEAR(tb_rechnungen[[#This Row],[Re-Datum]]),"")</f>
        <v/>
      </c>
      <c r="Q551" s="19">
        <f>IF(tb_rechnungen[[#This Row],[Brutto]]&lt;&gt;0,tb_rechnungen[[#This Row],[Brutto]]-tb_rechnungen[[#This Row],[Netto]],"")</f>
        <v/>
      </c>
      <c r="R551" s="37">
        <f>IF(tb_rechnungen[[#This Row],[Netto]]&lt;&gt;0,ROUND(tb_rechnungen[[#This Row],[Steuer]]/tb_rechnungen[[#This Row],[Netto]],2),"")</f>
        <v/>
      </c>
    </row>
    <row r="552">
      <c r="A552" s="26" t="n"/>
      <c r="B552" s="27" t="n"/>
      <c r="C552" s="28" t="n"/>
      <c r="D552" s="28" t="n"/>
      <c r="E552" s="27" t="n"/>
      <c r="F552" s="29" t="n"/>
      <c r="G552" s="29" t="n"/>
      <c r="H552" s="30" t="n"/>
      <c r="I552" s="30" t="n"/>
      <c r="J552" s="30" t="n"/>
      <c r="K552" s="50" t="n"/>
      <c r="L552" s="50" t="n"/>
      <c r="M552" s="67" t="n"/>
      <c r="N552" s="30" t="n"/>
      <c r="O552" s="12">
        <f>IF(tb_rechnungen[[#This Row],[Re-Datum]]&gt;0,MONTH(tb_rechnungen[[#This Row],[Re-Datum]]),"")</f>
        <v/>
      </c>
      <c r="P552" s="13">
        <f>IF(tb_rechnungen[[#This Row],[Re-Datum]]&gt;0,YEAR(tb_rechnungen[[#This Row],[Re-Datum]]),"")</f>
        <v/>
      </c>
      <c r="Q552" s="19">
        <f>IF(tb_rechnungen[[#This Row],[Brutto]]&lt;&gt;0,tb_rechnungen[[#This Row],[Brutto]]-tb_rechnungen[[#This Row],[Netto]],"")</f>
        <v/>
      </c>
      <c r="R552" s="37">
        <f>IF(tb_rechnungen[[#This Row],[Netto]]&lt;&gt;0,ROUND(tb_rechnungen[[#This Row],[Steuer]]/tb_rechnungen[[#This Row],[Netto]],2),"")</f>
        <v/>
      </c>
    </row>
    <row r="553">
      <c r="A553" s="26" t="n"/>
      <c r="B553" s="27" t="n"/>
      <c r="C553" s="28" t="n"/>
      <c r="D553" s="28" t="n"/>
      <c r="E553" s="27" t="n"/>
      <c r="F553" s="29" t="n"/>
      <c r="G553" s="29" t="n"/>
      <c r="H553" s="30" t="n"/>
      <c r="I553" s="30" t="n"/>
      <c r="J553" s="30" t="n"/>
      <c r="K553" s="50" t="n"/>
      <c r="L553" s="50" t="n"/>
      <c r="M553" s="67" t="n"/>
      <c r="N553" s="30" t="n"/>
      <c r="O553" s="12">
        <f>IF(tb_rechnungen[[#This Row],[Re-Datum]]&gt;0,MONTH(tb_rechnungen[[#This Row],[Re-Datum]]),"")</f>
        <v/>
      </c>
      <c r="P553" s="13">
        <f>IF(tb_rechnungen[[#This Row],[Re-Datum]]&gt;0,YEAR(tb_rechnungen[[#This Row],[Re-Datum]]),"")</f>
        <v/>
      </c>
      <c r="Q553" s="19">
        <f>IF(tb_rechnungen[[#This Row],[Brutto]]&lt;&gt;0,tb_rechnungen[[#This Row],[Brutto]]-tb_rechnungen[[#This Row],[Netto]],"")</f>
        <v/>
      </c>
      <c r="R553" s="37">
        <f>IF(tb_rechnungen[[#This Row],[Netto]]&lt;&gt;0,ROUND(tb_rechnungen[[#This Row],[Steuer]]/tb_rechnungen[[#This Row],[Netto]],2),"")</f>
        <v/>
      </c>
    </row>
    <row r="554">
      <c r="A554" s="26" t="n"/>
      <c r="B554" s="27" t="n"/>
      <c r="C554" s="28" t="n"/>
      <c r="D554" s="28" t="n"/>
      <c r="E554" s="27" t="n"/>
      <c r="F554" s="29" t="n"/>
      <c r="G554" s="29" t="n"/>
      <c r="H554" s="30" t="n"/>
      <c r="I554" s="30" t="n"/>
      <c r="J554" s="30" t="n"/>
      <c r="K554" s="50" t="n"/>
      <c r="L554" s="50" t="n"/>
      <c r="M554" s="67" t="n"/>
      <c r="N554" s="30" t="n"/>
      <c r="O554" s="12">
        <f>IF(tb_rechnungen[[#This Row],[Re-Datum]]&gt;0,MONTH(tb_rechnungen[[#This Row],[Re-Datum]]),"")</f>
        <v/>
      </c>
      <c r="P554" s="13">
        <f>IF(tb_rechnungen[[#This Row],[Re-Datum]]&gt;0,YEAR(tb_rechnungen[[#This Row],[Re-Datum]]),"")</f>
        <v/>
      </c>
      <c r="Q554" s="19">
        <f>IF(tb_rechnungen[[#This Row],[Brutto]]&lt;&gt;0,tb_rechnungen[[#This Row],[Brutto]]-tb_rechnungen[[#This Row],[Netto]],"")</f>
        <v/>
      </c>
      <c r="R554" s="37">
        <f>IF(tb_rechnungen[[#This Row],[Netto]]&lt;&gt;0,ROUND(tb_rechnungen[[#This Row],[Steuer]]/tb_rechnungen[[#This Row],[Netto]],2),"")</f>
        <v/>
      </c>
    </row>
    <row r="555">
      <c r="A555" s="26" t="n"/>
      <c r="B555" s="27" t="n"/>
      <c r="C555" s="28" t="n"/>
      <c r="D555" s="28" t="n"/>
      <c r="E555" s="27" t="n"/>
      <c r="F555" s="29" t="n"/>
      <c r="G555" s="29" t="n"/>
      <c r="H555" s="30" t="n"/>
      <c r="I555" s="30" t="n"/>
      <c r="J555" s="30" t="n"/>
      <c r="K555" s="50" t="n"/>
      <c r="L555" s="50" t="n"/>
      <c r="M555" s="67" t="n"/>
      <c r="N555" s="30" t="n"/>
      <c r="O555" s="12">
        <f>IF(tb_rechnungen[[#This Row],[Re-Datum]]&gt;0,MONTH(tb_rechnungen[[#This Row],[Re-Datum]]),"")</f>
        <v/>
      </c>
      <c r="P555" s="13">
        <f>IF(tb_rechnungen[[#This Row],[Re-Datum]]&gt;0,YEAR(tb_rechnungen[[#This Row],[Re-Datum]]),"")</f>
        <v/>
      </c>
      <c r="Q555" s="19">
        <f>IF(tb_rechnungen[[#This Row],[Brutto]]&lt;&gt;0,tb_rechnungen[[#This Row],[Brutto]]-tb_rechnungen[[#This Row],[Netto]],"")</f>
        <v/>
      </c>
      <c r="R555" s="37">
        <f>IF(tb_rechnungen[[#This Row],[Netto]]&lt;&gt;0,ROUND(tb_rechnungen[[#This Row],[Steuer]]/tb_rechnungen[[#This Row],[Netto]],2),"")</f>
        <v/>
      </c>
    </row>
    <row r="556">
      <c r="A556" s="26" t="n"/>
      <c r="B556" s="27" t="n"/>
      <c r="C556" s="28" t="n"/>
      <c r="D556" s="28" t="n"/>
      <c r="E556" s="27" t="n"/>
      <c r="F556" s="29" t="n"/>
      <c r="G556" s="29" t="n"/>
      <c r="H556" s="30" t="n"/>
      <c r="I556" s="30" t="n"/>
      <c r="J556" s="30" t="n"/>
      <c r="K556" s="50" t="n"/>
      <c r="L556" s="50" t="n"/>
      <c r="M556" s="67" t="n"/>
      <c r="N556" s="30" t="n"/>
      <c r="O556" s="12">
        <f>IF(tb_rechnungen[[#This Row],[Re-Datum]]&gt;0,MONTH(tb_rechnungen[[#This Row],[Re-Datum]]),"")</f>
        <v/>
      </c>
      <c r="P556" s="13">
        <f>IF(tb_rechnungen[[#This Row],[Re-Datum]]&gt;0,YEAR(tb_rechnungen[[#This Row],[Re-Datum]]),"")</f>
        <v/>
      </c>
      <c r="Q556" s="19">
        <f>IF(tb_rechnungen[[#This Row],[Brutto]]&lt;&gt;0,tb_rechnungen[[#This Row],[Brutto]]-tb_rechnungen[[#This Row],[Netto]],"")</f>
        <v/>
      </c>
      <c r="R556" s="37">
        <f>IF(tb_rechnungen[[#This Row],[Netto]]&lt;&gt;0,ROUND(tb_rechnungen[[#This Row],[Steuer]]/tb_rechnungen[[#This Row],[Netto]],2),"")</f>
        <v/>
      </c>
    </row>
    <row r="557">
      <c r="A557" s="26" t="n"/>
      <c r="B557" s="27" t="n"/>
      <c r="C557" s="28" t="n"/>
      <c r="D557" s="28" t="n"/>
      <c r="E557" s="27" t="n"/>
      <c r="F557" s="29" t="n"/>
      <c r="G557" s="29" t="n"/>
      <c r="H557" s="30" t="n"/>
      <c r="I557" s="30" t="n"/>
      <c r="J557" s="30" t="n"/>
      <c r="K557" s="50" t="n"/>
      <c r="L557" s="50" t="n"/>
      <c r="M557" s="67" t="n"/>
      <c r="N557" s="30" t="n"/>
      <c r="O557" s="12">
        <f>IF(tb_rechnungen[[#This Row],[Re-Datum]]&gt;0,MONTH(tb_rechnungen[[#This Row],[Re-Datum]]),"")</f>
        <v/>
      </c>
      <c r="P557" s="13">
        <f>IF(tb_rechnungen[[#This Row],[Re-Datum]]&gt;0,YEAR(tb_rechnungen[[#This Row],[Re-Datum]]),"")</f>
        <v/>
      </c>
      <c r="Q557" s="19">
        <f>IF(tb_rechnungen[[#This Row],[Brutto]]&lt;&gt;0,tb_rechnungen[[#This Row],[Brutto]]-tb_rechnungen[[#This Row],[Netto]],"")</f>
        <v/>
      </c>
      <c r="R557" s="37">
        <f>IF(tb_rechnungen[[#This Row],[Netto]]&lt;&gt;0,ROUND(tb_rechnungen[[#This Row],[Steuer]]/tb_rechnungen[[#This Row],[Netto]],2),"")</f>
        <v/>
      </c>
    </row>
    <row r="558">
      <c r="A558" s="26" t="n"/>
      <c r="B558" s="27" t="n"/>
      <c r="C558" s="28" t="n"/>
      <c r="D558" s="28" t="n"/>
      <c r="E558" s="27" t="n"/>
      <c r="F558" s="29" t="n"/>
      <c r="G558" s="29" t="n"/>
      <c r="H558" s="30" t="n"/>
      <c r="I558" s="30" t="n"/>
      <c r="J558" s="30" t="n"/>
      <c r="K558" s="50" t="n"/>
      <c r="L558" s="50" t="n"/>
      <c r="M558" s="67" t="n"/>
      <c r="N558" s="30" t="n"/>
      <c r="O558" s="12">
        <f>IF(tb_rechnungen[[#This Row],[Re-Datum]]&gt;0,MONTH(tb_rechnungen[[#This Row],[Re-Datum]]),"")</f>
        <v/>
      </c>
      <c r="P558" s="13">
        <f>IF(tb_rechnungen[[#This Row],[Re-Datum]]&gt;0,YEAR(tb_rechnungen[[#This Row],[Re-Datum]]),"")</f>
        <v/>
      </c>
      <c r="Q558" s="19">
        <f>IF(tb_rechnungen[[#This Row],[Brutto]]&lt;&gt;0,tb_rechnungen[[#This Row],[Brutto]]-tb_rechnungen[[#This Row],[Netto]],"")</f>
        <v/>
      </c>
      <c r="R558" s="37">
        <f>IF(tb_rechnungen[[#This Row],[Netto]]&lt;&gt;0,ROUND(tb_rechnungen[[#This Row],[Steuer]]/tb_rechnungen[[#This Row],[Netto]],2),"")</f>
        <v/>
      </c>
    </row>
    <row r="559">
      <c r="A559" s="26" t="n"/>
      <c r="B559" s="27" t="n"/>
      <c r="C559" s="28" t="n"/>
      <c r="D559" s="28" t="n"/>
      <c r="E559" s="27" t="n"/>
      <c r="F559" s="29" t="n"/>
      <c r="G559" s="29" t="n"/>
      <c r="H559" s="30" t="n"/>
      <c r="I559" s="30" t="n"/>
      <c r="J559" s="30" t="n"/>
      <c r="K559" s="50" t="n"/>
      <c r="L559" s="50" t="n"/>
      <c r="M559" s="67" t="n"/>
      <c r="N559" s="30" t="n"/>
      <c r="O559" s="12">
        <f>IF(tb_rechnungen[[#This Row],[Re-Datum]]&gt;0,MONTH(tb_rechnungen[[#This Row],[Re-Datum]]),"")</f>
        <v/>
      </c>
      <c r="P559" s="13">
        <f>IF(tb_rechnungen[[#This Row],[Re-Datum]]&gt;0,YEAR(tb_rechnungen[[#This Row],[Re-Datum]]),"")</f>
        <v/>
      </c>
      <c r="Q559" s="19">
        <f>IF(tb_rechnungen[[#This Row],[Brutto]]&lt;&gt;0,tb_rechnungen[[#This Row],[Brutto]]-tb_rechnungen[[#This Row],[Netto]],"")</f>
        <v/>
      </c>
      <c r="R559" s="37">
        <f>IF(tb_rechnungen[[#This Row],[Netto]]&lt;&gt;0,ROUND(tb_rechnungen[[#This Row],[Steuer]]/tb_rechnungen[[#This Row],[Netto]],2),"")</f>
        <v/>
      </c>
    </row>
    <row r="560">
      <c r="A560" s="26" t="n"/>
      <c r="B560" s="27" t="n"/>
      <c r="C560" s="28" t="n"/>
      <c r="D560" s="28" t="n"/>
      <c r="E560" s="27" t="n"/>
      <c r="F560" s="29" t="n"/>
      <c r="G560" s="29" t="n"/>
      <c r="H560" s="30" t="n"/>
      <c r="I560" s="30" t="n"/>
      <c r="J560" s="30" t="n"/>
      <c r="K560" s="50" t="n"/>
      <c r="L560" s="50" t="n"/>
      <c r="M560" s="67" t="n"/>
      <c r="N560" s="30" t="n"/>
      <c r="O560" s="12">
        <f>IF(tb_rechnungen[[#This Row],[Re-Datum]]&gt;0,MONTH(tb_rechnungen[[#This Row],[Re-Datum]]),"")</f>
        <v/>
      </c>
      <c r="P560" s="13">
        <f>IF(tb_rechnungen[[#This Row],[Re-Datum]]&gt;0,YEAR(tb_rechnungen[[#This Row],[Re-Datum]]),"")</f>
        <v/>
      </c>
      <c r="Q560" s="19">
        <f>IF(tb_rechnungen[[#This Row],[Brutto]]&lt;&gt;0,tb_rechnungen[[#This Row],[Brutto]]-tb_rechnungen[[#This Row],[Netto]],"")</f>
        <v/>
      </c>
      <c r="R560" s="37">
        <f>IF(tb_rechnungen[[#This Row],[Netto]]&lt;&gt;0,ROUND(tb_rechnungen[[#This Row],[Steuer]]/tb_rechnungen[[#This Row],[Netto]],2),"")</f>
        <v/>
      </c>
    </row>
    <row r="561">
      <c r="A561" s="26" t="n"/>
      <c r="B561" s="27" t="n"/>
      <c r="C561" s="28" t="n"/>
      <c r="D561" s="28" t="n"/>
      <c r="E561" s="27" t="n"/>
      <c r="F561" s="29" t="n"/>
      <c r="G561" s="29" t="n"/>
      <c r="H561" s="30" t="n"/>
      <c r="I561" s="30" t="n"/>
      <c r="J561" s="30" t="n"/>
      <c r="K561" s="50" t="n"/>
      <c r="L561" s="50" t="n"/>
      <c r="M561" s="67" t="n"/>
      <c r="N561" s="30" t="n"/>
      <c r="O561" s="12">
        <f>IF(tb_rechnungen[[#This Row],[Re-Datum]]&gt;0,MONTH(tb_rechnungen[[#This Row],[Re-Datum]]),"")</f>
        <v/>
      </c>
      <c r="P561" s="13">
        <f>IF(tb_rechnungen[[#This Row],[Re-Datum]]&gt;0,YEAR(tb_rechnungen[[#This Row],[Re-Datum]]),"")</f>
        <v/>
      </c>
      <c r="Q561" s="19">
        <f>IF(tb_rechnungen[[#This Row],[Brutto]]&lt;&gt;0,tb_rechnungen[[#This Row],[Brutto]]-tb_rechnungen[[#This Row],[Netto]],"")</f>
        <v/>
      </c>
      <c r="R561" s="37">
        <f>IF(tb_rechnungen[[#This Row],[Netto]]&lt;&gt;0,ROUND(tb_rechnungen[[#This Row],[Steuer]]/tb_rechnungen[[#This Row],[Netto]],2),"")</f>
        <v/>
      </c>
    </row>
    <row r="562">
      <c r="A562" s="26" t="n"/>
      <c r="B562" s="27" t="n"/>
      <c r="C562" s="28" t="n"/>
      <c r="D562" s="28" t="n"/>
      <c r="E562" s="27" t="n"/>
      <c r="F562" s="29" t="n"/>
      <c r="G562" s="29" t="n"/>
      <c r="H562" s="30" t="n"/>
      <c r="I562" s="30" t="n"/>
      <c r="J562" s="30" t="n"/>
      <c r="K562" s="50" t="n"/>
      <c r="L562" s="50" t="n"/>
      <c r="M562" s="67" t="n"/>
      <c r="N562" s="30" t="n"/>
      <c r="O562" s="12">
        <f>IF(tb_rechnungen[[#This Row],[Re-Datum]]&gt;0,MONTH(tb_rechnungen[[#This Row],[Re-Datum]]),"")</f>
        <v/>
      </c>
      <c r="P562" s="13">
        <f>IF(tb_rechnungen[[#This Row],[Re-Datum]]&gt;0,YEAR(tb_rechnungen[[#This Row],[Re-Datum]]),"")</f>
        <v/>
      </c>
      <c r="Q562" s="19">
        <f>IF(tb_rechnungen[[#This Row],[Brutto]]&lt;&gt;0,tb_rechnungen[[#This Row],[Brutto]]-tb_rechnungen[[#This Row],[Netto]],"")</f>
        <v/>
      </c>
      <c r="R562" s="37">
        <f>IF(tb_rechnungen[[#This Row],[Netto]]&lt;&gt;0,ROUND(tb_rechnungen[[#This Row],[Steuer]]/tb_rechnungen[[#This Row],[Netto]],2),"")</f>
        <v/>
      </c>
    </row>
    <row r="563">
      <c r="A563" s="26" t="n"/>
      <c r="B563" s="27" t="n"/>
      <c r="C563" s="28" t="n"/>
      <c r="D563" s="28" t="n"/>
      <c r="E563" s="27" t="n"/>
      <c r="F563" s="29" t="n"/>
      <c r="G563" s="29" t="n"/>
      <c r="H563" s="30" t="n"/>
      <c r="I563" s="30" t="n"/>
      <c r="J563" s="30" t="n"/>
      <c r="K563" s="50" t="n"/>
      <c r="L563" s="50" t="n"/>
      <c r="M563" s="67" t="n"/>
      <c r="N563" s="30" t="n"/>
      <c r="O563" s="12">
        <f>IF(tb_rechnungen[[#This Row],[Re-Datum]]&gt;0,MONTH(tb_rechnungen[[#This Row],[Re-Datum]]),"")</f>
        <v/>
      </c>
      <c r="P563" s="13">
        <f>IF(tb_rechnungen[[#This Row],[Re-Datum]]&gt;0,YEAR(tb_rechnungen[[#This Row],[Re-Datum]]),"")</f>
        <v/>
      </c>
      <c r="Q563" s="19">
        <f>IF(tb_rechnungen[[#This Row],[Brutto]]&lt;&gt;0,tb_rechnungen[[#This Row],[Brutto]]-tb_rechnungen[[#This Row],[Netto]],"")</f>
        <v/>
      </c>
      <c r="R563" s="37">
        <f>IF(tb_rechnungen[[#This Row],[Netto]]&lt;&gt;0,ROUND(tb_rechnungen[[#This Row],[Steuer]]/tb_rechnungen[[#This Row],[Netto]],2),"")</f>
        <v/>
      </c>
    </row>
    <row r="564">
      <c r="A564" s="26" t="n"/>
      <c r="B564" s="27" t="n"/>
      <c r="C564" s="28" t="n"/>
      <c r="D564" s="28" t="n"/>
      <c r="E564" s="27" t="n"/>
      <c r="F564" s="29" t="n"/>
      <c r="G564" s="29" t="n"/>
      <c r="H564" s="30" t="n"/>
      <c r="I564" s="30" t="n"/>
      <c r="J564" s="30" t="n"/>
      <c r="K564" s="50" t="n"/>
      <c r="L564" s="50" t="n"/>
      <c r="M564" s="67" t="n"/>
      <c r="N564" s="30" t="n"/>
      <c r="O564" s="12">
        <f>IF(tb_rechnungen[[#This Row],[Re-Datum]]&gt;0,MONTH(tb_rechnungen[[#This Row],[Re-Datum]]),"")</f>
        <v/>
      </c>
      <c r="P564" s="13">
        <f>IF(tb_rechnungen[[#This Row],[Re-Datum]]&gt;0,YEAR(tb_rechnungen[[#This Row],[Re-Datum]]),"")</f>
        <v/>
      </c>
      <c r="Q564" s="19">
        <f>IF(tb_rechnungen[[#This Row],[Brutto]]&lt;&gt;0,tb_rechnungen[[#This Row],[Brutto]]-tb_rechnungen[[#This Row],[Netto]],"")</f>
        <v/>
      </c>
      <c r="R564" s="37">
        <f>IF(tb_rechnungen[[#This Row],[Netto]]&lt;&gt;0,ROUND(tb_rechnungen[[#This Row],[Steuer]]/tb_rechnungen[[#This Row],[Netto]],2),"")</f>
        <v/>
      </c>
    </row>
    <row r="565">
      <c r="A565" s="26" t="n"/>
      <c r="B565" s="27" t="n"/>
      <c r="C565" s="28" t="n"/>
      <c r="D565" s="28" t="n"/>
      <c r="E565" s="27" t="n"/>
      <c r="F565" s="29" t="n"/>
      <c r="G565" s="29" t="n"/>
      <c r="H565" s="30" t="n"/>
      <c r="I565" s="30" t="n"/>
      <c r="J565" s="30" t="n"/>
      <c r="K565" s="50" t="n"/>
      <c r="L565" s="50" t="n"/>
      <c r="M565" s="67" t="n"/>
      <c r="N565" s="30" t="n"/>
      <c r="O565" s="12">
        <f>IF(tb_rechnungen[[#This Row],[Re-Datum]]&gt;0,MONTH(tb_rechnungen[[#This Row],[Re-Datum]]),"")</f>
        <v/>
      </c>
      <c r="P565" s="13">
        <f>IF(tb_rechnungen[[#This Row],[Re-Datum]]&gt;0,YEAR(tb_rechnungen[[#This Row],[Re-Datum]]),"")</f>
        <v/>
      </c>
      <c r="Q565" s="19">
        <f>IF(tb_rechnungen[[#This Row],[Brutto]]&lt;&gt;0,tb_rechnungen[[#This Row],[Brutto]]-tb_rechnungen[[#This Row],[Netto]],"")</f>
        <v/>
      </c>
      <c r="R565" s="37">
        <f>IF(tb_rechnungen[[#This Row],[Netto]]&lt;&gt;0,ROUND(tb_rechnungen[[#This Row],[Steuer]]/tb_rechnungen[[#This Row],[Netto]],2),"")</f>
        <v/>
      </c>
    </row>
    <row r="566">
      <c r="A566" s="26" t="n"/>
      <c r="B566" s="27" t="n"/>
      <c r="C566" s="28" t="n"/>
      <c r="D566" s="28" t="n"/>
      <c r="E566" s="27" t="n"/>
      <c r="F566" s="29" t="n"/>
      <c r="G566" s="29" t="n"/>
      <c r="H566" s="30" t="n"/>
      <c r="I566" s="30" t="n"/>
      <c r="J566" s="30" t="n"/>
      <c r="K566" s="50" t="n"/>
      <c r="L566" s="50" t="n"/>
      <c r="M566" s="67" t="n"/>
      <c r="N566" s="30" t="n"/>
      <c r="O566" s="12">
        <f>IF(tb_rechnungen[[#This Row],[Re-Datum]]&gt;0,MONTH(tb_rechnungen[[#This Row],[Re-Datum]]),"")</f>
        <v/>
      </c>
      <c r="P566" s="13">
        <f>IF(tb_rechnungen[[#This Row],[Re-Datum]]&gt;0,YEAR(tb_rechnungen[[#This Row],[Re-Datum]]),"")</f>
        <v/>
      </c>
      <c r="Q566" s="19">
        <f>IF(tb_rechnungen[[#This Row],[Brutto]]&lt;&gt;0,tb_rechnungen[[#This Row],[Brutto]]-tb_rechnungen[[#This Row],[Netto]],"")</f>
        <v/>
      </c>
      <c r="R566" s="37">
        <f>IF(tb_rechnungen[[#This Row],[Netto]]&lt;&gt;0,ROUND(tb_rechnungen[[#This Row],[Steuer]]/tb_rechnungen[[#This Row],[Netto]],2),"")</f>
        <v/>
      </c>
    </row>
    <row r="567">
      <c r="A567" s="26" t="n"/>
      <c r="B567" s="27" t="n"/>
      <c r="C567" s="28" t="n"/>
      <c r="D567" s="28" t="n"/>
      <c r="E567" s="27" t="n"/>
      <c r="F567" s="29" t="n"/>
      <c r="G567" s="29" t="n"/>
      <c r="H567" s="30" t="n"/>
      <c r="I567" s="30" t="n"/>
      <c r="J567" s="30" t="n"/>
      <c r="K567" s="50" t="n"/>
      <c r="L567" s="50" t="n"/>
      <c r="M567" s="67" t="n"/>
      <c r="N567" s="30" t="n"/>
      <c r="O567" s="12">
        <f>IF(tb_rechnungen[[#This Row],[Re-Datum]]&gt;0,MONTH(tb_rechnungen[[#This Row],[Re-Datum]]),"")</f>
        <v/>
      </c>
      <c r="P567" s="13">
        <f>IF(tb_rechnungen[[#This Row],[Re-Datum]]&gt;0,YEAR(tb_rechnungen[[#This Row],[Re-Datum]]),"")</f>
        <v/>
      </c>
      <c r="Q567" s="19">
        <f>IF(tb_rechnungen[[#This Row],[Brutto]]&lt;&gt;0,tb_rechnungen[[#This Row],[Brutto]]-tb_rechnungen[[#This Row],[Netto]],"")</f>
        <v/>
      </c>
      <c r="R567" s="37">
        <f>IF(tb_rechnungen[[#This Row],[Netto]]&lt;&gt;0,ROUND(tb_rechnungen[[#This Row],[Steuer]]/tb_rechnungen[[#This Row],[Netto]],2),"")</f>
        <v/>
      </c>
    </row>
    <row r="568">
      <c r="A568" s="26" t="n"/>
      <c r="B568" s="27" t="n"/>
      <c r="C568" s="28" t="n"/>
      <c r="D568" s="28" t="n"/>
      <c r="E568" s="27" t="n"/>
      <c r="F568" s="29" t="n"/>
      <c r="G568" s="29" t="n"/>
      <c r="H568" s="30" t="n"/>
      <c r="I568" s="30" t="n"/>
      <c r="J568" s="30" t="n"/>
      <c r="K568" s="50" t="n"/>
      <c r="L568" s="50" t="n"/>
      <c r="M568" s="67" t="n"/>
      <c r="N568" s="30" t="n"/>
      <c r="O568" s="12">
        <f>IF(tb_rechnungen[[#This Row],[Re-Datum]]&gt;0,MONTH(tb_rechnungen[[#This Row],[Re-Datum]]),"")</f>
        <v/>
      </c>
      <c r="P568" s="13">
        <f>IF(tb_rechnungen[[#This Row],[Re-Datum]]&gt;0,YEAR(tb_rechnungen[[#This Row],[Re-Datum]]),"")</f>
        <v/>
      </c>
      <c r="Q568" s="19">
        <f>IF(tb_rechnungen[[#This Row],[Brutto]]&lt;&gt;0,tb_rechnungen[[#This Row],[Brutto]]-tb_rechnungen[[#This Row],[Netto]],"")</f>
        <v/>
      </c>
      <c r="R568" s="37">
        <f>IF(tb_rechnungen[[#This Row],[Netto]]&lt;&gt;0,ROUND(tb_rechnungen[[#This Row],[Steuer]]/tb_rechnungen[[#This Row],[Netto]],2),"")</f>
        <v/>
      </c>
    </row>
    <row r="569">
      <c r="A569" s="26" t="n"/>
      <c r="B569" s="27" t="n"/>
      <c r="C569" s="28" t="n"/>
      <c r="D569" s="28" t="n"/>
      <c r="E569" s="27" t="n"/>
      <c r="F569" s="29" t="n"/>
      <c r="G569" s="29" t="n"/>
      <c r="H569" s="30" t="n"/>
      <c r="I569" s="30" t="n"/>
      <c r="J569" s="30" t="n"/>
      <c r="K569" s="50" t="n"/>
      <c r="L569" s="50" t="n"/>
      <c r="M569" s="67" t="n"/>
      <c r="N569" s="30" t="n"/>
      <c r="O569" s="12">
        <f>IF(tb_rechnungen[[#This Row],[Re-Datum]]&gt;0,MONTH(tb_rechnungen[[#This Row],[Re-Datum]]),"")</f>
        <v/>
      </c>
      <c r="P569" s="13">
        <f>IF(tb_rechnungen[[#This Row],[Re-Datum]]&gt;0,YEAR(tb_rechnungen[[#This Row],[Re-Datum]]),"")</f>
        <v/>
      </c>
      <c r="Q569" s="19">
        <f>IF(tb_rechnungen[[#This Row],[Brutto]]&lt;&gt;0,tb_rechnungen[[#This Row],[Brutto]]-tb_rechnungen[[#This Row],[Netto]],"")</f>
        <v/>
      </c>
      <c r="R569" s="37">
        <f>IF(tb_rechnungen[[#This Row],[Netto]]&lt;&gt;0,ROUND(tb_rechnungen[[#This Row],[Steuer]]/tb_rechnungen[[#This Row],[Netto]],2),"")</f>
        <v/>
      </c>
    </row>
    <row r="570">
      <c r="A570" s="26" t="n"/>
      <c r="B570" s="27" t="n"/>
      <c r="C570" s="28" t="n"/>
      <c r="D570" s="28" t="n"/>
      <c r="E570" s="27" t="n"/>
      <c r="F570" s="29" t="n"/>
      <c r="G570" s="29" t="n"/>
      <c r="H570" s="30" t="n"/>
      <c r="I570" s="30" t="n"/>
      <c r="J570" s="30" t="n"/>
      <c r="K570" s="50" t="n"/>
      <c r="L570" s="50" t="n"/>
      <c r="M570" s="67" t="n"/>
      <c r="N570" s="30" t="n"/>
      <c r="O570" s="12">
        <f>IF(tb_rechnungen[[#This Row],[Re-Datum]]&gt;0,MONTH(tb_rechnungen[[#This Row],[Re-Datum]]),"")</f>
        <v/>
      </c>
      <c r="P570" s="13">
        <f>IF(tb_rechnungen[[#This Row],[Re-Datum]]&gt;0,YEAR(tb_rechnungen[[#This Row],[Re-Datum]]),"")</f>
        <v/>
      </c>
      <c r="Q570" s="19">
        <f>IF(tb_rechnungen[[#This Row],[Brutto]]&lt;&gt;0,tb_rechnungen[[#This Row],[Brutto]]-tb_rechnungen[[#This Row],[Netto]],"")</f>
        <v/>
      </c>
      <c r="R570" s="37">
        <f>IF(tb_rechnungen[[#This Row],[Netto]]&lt;&gt;0,ROUND(tb_rechnungen[[#This Row],[Steuer]]/tb_rechnungen[[#This Row],[Netto]],2),"")</f>
        <v/>
      </c>
    </row>
    <row r="571">
      <c r="A571" s="26" t="n"/>
      <c r="B571" s="27" t="n"/>
      <c r="C571" s="28" t="n"/>
      <c r="D571" s="28" t="n"/>
      <c r="E571" s="27" t="n"/>
      <c r="F571" s="29" t="n"/>
      <c r="G571" s="29" t="n"/>
      <c r="H571" s="30" t="n"/>
      <c r="I571" s="30" t="n"/>
      <c r="J571" s="30" t="n"/>
      <c r="K571" s="50" t="n"/>
      <c r="L571" s="50" t="n"/>
      <c r="M571" s="67" t="n"/>
      <c r="N571" s="30" t="n"/>
      <c r="O571" s="12">
        <f>IF(tb_rechnungen[[#This Row],[Re-Datum]]&gt;0,MONTH(tb_rechnungen[[#This Row],[Re-Datum]]),"")</f>
        <v/>
      </c>
      <c r="P571" s="13">
        <f>IF(tb_rechnungen[[#This Row],[Re-Datum]]&gt;0,YEAR(tb_rechnungen[[#This Row],[Re-Datum]]),"")</f>
        <v/>
      </c>
      <c r="Q571" s="19">
        <f>IF(tb_rechnungen[[#This Row],[Brutto]]&lt;&gt;0,tb_rechnungen[[#This Row],[Brutto]]-tb_rechnungen[[#This Row],[Netto]],"")</f>
        <v/>
      </c>
      <c r="R571" s="37">
        <f>IF(tb_rechnungen[[#This Row],[Netto]]&lt;&gt;0,ROUND(tb_rechnungen[[#This Row],[Steuer]]/tb_rechnungen[[#This Row],[Netto]],2),"")</f>
        <v/>
      </c>
    </row>
    <row r="572">
      <c r="A572" s="26" t="n"/>
      <c r="B572" s="27" t="n"/>
      <c r="C572" s="28" t="n"/>
      <c r="D572" s="28" t="n"/>
      <c r="E572" s="27" t="n"/>
      <c r="F572" s="29" t="n"/>
      <c r="G572" s="29" t="n"/>
      <c r="H572" s="30" t="n"/>
      <c r="I572" s="30" t="n"/>
      <c r="J572" s="30" t="n"/>
      <c r="K572" s="50" t="n"/>
      <c r="L572" s="50" t="n"/>
      <c r="M572" s="67" t="n"/>
      <c r="N572" s="30" t="n"/>
      <c r="O572" s="12">
        <f>IF(tb_rechnungen[[#This Row],[Re-Datum]]&gt;0,MONTH(tb_rechnungen[[#This Row],[Re-Datum]]),"")</f>
        <v/>
      </c>
      <c r="P572" s="13">
        <f>IF(tb_rechnungen[[#This Row],[Re-Datum]]&gt;0,YEAR(tb_rechnungen[[#This Row],[Re-Datum]]),"")</f>
        <v/>
      </c>
      <c r="Q572" s="19">
        <f>IF(tb_rechnungen[[#This Row],[Brutto]]&lt;&gt;0,tb_rechnungen[[#This Row],[Brutto]]-tb_rechnungen[[#This Row],[Netto]],"")</f>
        <v/>
      </c>
      <c r="R572" s="37">
        <f>IF(tb_rechnungen[[#This Row],[Netto]]&lt;&gt;0,ROUND(tb_rechnungen[[#This Row],[Steuer]]/tb_rechnungen[[#This Row],[Netto]],2),"")</f>
        <v/>
      </c>
    </row>
    <row r="573">
      <c r="A573" s="26" t="n"/>
      <c r="B573" s="27" t="n"/>
      <c r="C573" s="28" t="n"/>
      <c r="D573" s="28" t="n"/>
      <c r="E573" s="27" t="n"/>
      <c r="F573" s="29" t="n"/>
      <c r="G573" s="29" t="n"/>
      <c r="H573" s="30" t="n"/>
      <c r="I573" s="30" t="n"/>
      <c r="J573" s="30" t="n"/>
      <c r="K573" s="50" t="n"/>
      <c r="L573" s="50" t="n"/>
      <c r="M573" s="67" t="n"/>
      <c r="N573" s="30" t="n"/>
      <c r="O573" s="12">
        <f>IF(tb_rechnungen[[#This Row],[Re-Datum]]&gt;0,MONTH(tb_rechnungen[[#This Row],[Re-Datum]]),"")</f>
        <v/>
      </c>
      <c r="P573" s="13">
        <f>IF(tb_rechnungen[[#This Row],[Re-Datum]]&gt;0,YEAR(tb_rechnungen[[#This Row],[Re-Datum]]),"")</f>
        <v/>
      </c>
      <c r="Q573" s="19">
        <f>IF(tb_rechnungen[[#This Row],[Brutto]]&lt;&gt;0,tb_rechnungen[[#This Row],[Brutto]]-tb_rechnungen[[#This Row],[Netto]],"")</f>
        <v/>
      </c>
      <c r="R573" s="37">
        <f>IF(tb_rechnungen[[#This Row],[Netto]]&lt;&gt;0,ROUND(tb_rechnungen[[#This Row],[Steuer]]/tb_rechnungen[[#This Row],[Netto]],2),"")</f>
        <v/>
      </c>
    </row>
    <row r="574">
      <c r="A574" s="26" t="n"/>
      <c r="B574" s="27" t="n"/>
      <c r="C574" s="28" t="n"/>
      <c r="D574" s="28" t="n"/>
      <c r="E574" s="27" t="n"/>
      <c r="F574" s="29" t="n"/>
      <c r="G574" s="29" t="n"/>
      <c r="H574" s="30" t="n"/>
      <c r="I574" s="30" t="n"/>
      <c r="J574" s="30" t="n"/>
      <c r="K574" s="50" t="n"/>
      <c r="L574" s="50" t="n"/>
      <c r="M574" s="67" t="n"/>
      <c r="N574" s="30" t="n"/>
      <c r="O574" s="12">
        <f>IF(tb_rechnungen[[#This Row],[Re-Datum]]&gt;0,MONTH(tb_rechnungen[[#This Row],[Re-Datum]]),"")</f>
        <v/>
      </c>
      <c r="P574" s="13">
        <f>IF(tb_rechnungen[[#This Row],[Re-Datum]]&gt;0,YEAR(tb_rechnungen[[#This Row],[Re-Datum]]),"")</f>
        <v/>
      </c>
      <c r="Q574" s="19">
        <f>IF(tb_rechnungen[[#This Row],[Brutto]]&lt;&gt;0,tb_rechnungen[[#This Row],[Brutto]]-tb_rechnungen[[#This Row],[Netto]],"")</f>
        <v/>
      </c>
      <c r="R574" s="37">
        <f>IF(tb_rechnungen[[#This Row],[Netto]]&lt;&gt;0,ROUND(tb_rechnungen[[#This Row],[Steuer]]/tb_rechnungen[[#This Row],[Netto]],2),"")</f>
        <v/>
      </c>
    </row>
    <row r="575">
      <c r="A575" s="26" t="n"/>
      <c r="B575" s="27" t="n"/>
      <c r="C575" s="28" t="n"/>
      <c r="D575" s="28" t="n"/>
      <c r="E575" s="27" t="n"/>
      <c r="F575" s="29" t="n"/>
      <c r="G575" s="29" t="n"/>
      <c r="H575" s="30" t="n"/>
      <c r="I575" s="30" t="n"/>
      <c r="J575" s="30" t="n"/>
      <c r="K575" s="50" t="n"/>
      <c r="L575" s="50" t="n"/>
      <c r="M575" s="67" t="n"/>
      <c r="N575" s="30" t="n"/>
      <c r="O575" s="12">
        <f>IF(tb_rechnungen[[#This Row],[Re-Datum]]&gt;0,MONTH(tb_rechnungen[[#This Row],[Re-Datum]]),"")</f>
        <v/>
      </c>
      <c r="P575" s="13">
        <f>IF(tb_rechnungen[[#This Row],[Re-Datum]]&gt;0,YEAR(tb_rechnungen[[#This Row],[Re-Datum]]),"")</f>
        <v/>
      </c>
      <c r="Q575" s="19">
        <f>IF(tb_rechnungen[[#This Row],[Brutto]]&lt;&gt;0,tb_rechnungen[[#This Row],[Brutto]]-tb_rechnungen[[#This Row],[Netto]],"")</f>
        <v/>
      </c>
      <c r="R575" s="37">
        <f>IF(tb_rechnungen[[#This Row],[Netto]]&lt;&gt;0,ROUND(tb_rechnungen[[#This Row],[Steuer]]/tb_rechnungen[[#This Row],[Netto]],2),"")</f>
        <v/>
      </c>
    </row>
    <row r="576">
      <c r="A576" s="26" t="n"/>
      <c r="B576" s="27" t="n"/>
      <c r="C576" s="28" t="n"/>
      <c r="D576" s="28" t="n"/>
      <c r="E576" s="27" t="n"/>
      <c r="F576" s="29" t="n"/>
      <c r="G576" s="29" t="n"/>
      <c r="H576" s="30" t="n"/>
      <c r="I576" s="30" t="n"/>
      <c r="J576" s="30" t="n"/>
      <c r="K576" s="50" t="n"/>
      <c r="L576" s="50" t="n"/>
      <c r="M576" s="67" t="n"/>
      <c r="N576" s="30" t="n"/>
      <c r="O576" s="12">
        <f>IF(tb_rechnungen[[#This Row],[Re-Datum]]&gt;0,MONTH(tb_rechnungen[[#This Row],[Re-Datum]]),"")</f>
        <v/>
      </c>
      <c r="P576" s="13">
        <f>IF(tb_rechnungen[[#This Row],[Re-Datum]]&gt;0,YEAR(tb_rechnungen[[#This Row],[Re-Datum]]),"")</f>
        <v/>
      </c>
      <c r="Q576" s="19">
        <f>IF(tb_rechnungen[[#This Row],[Brutto]]&lt;&gt;0,tb_rechnungen[[#This Row],[Brutto]]-tb_rechnungen[[#This Row],[Netto]],"")</f>
        <v/>
      </c>
      <c r="R576" s="37">
        <f>IF(tb_rechnungen[[#This Row],[Netto]]&lt;&gt;0,ROUND(tb_rechnungen[[#This Row],[Steuer]]/tb_rechnungen[[#This Row],[Netto]],2),"")</f>
        <v/>
      </c>
    </row>
    <row r="577">
      <c r="A577" s="26" t="n"/>
      <c r="B577" s="27" t="n"/>
      <c r="C577" s="28" t="n"/>
      <c r="D577" s="28" t="n"/>
      <c r="E577" s="27" t="n"/>
      <c r="F577" s="29" t="n"/>
      <c r="G577" s="29" t="n"/>
      <c r="H577" s="30" t="n"/>
      <c r="I577" s="30" t="n"/>
      <c r="J577" s="30" t="n"/>
      <c r="K577" s="50" t="n"/>
      <c r="L577" s="50" t="n"/>
      <c r="M577" s="67" t="n"/>
      <c r="N577" s="30" t="n"/>
      <c r="O577" s="12">
        <f>IF(tb_rechnungen[[#This Row],[Re-Datum]]&gt;0,MONTH(tb_rechnungen[[#This Row],[Re-Datum]]),"")</f>
        <v/>
      </c>
      <c r="P577" s="13">
        <f>IF(tb_rechnungen[[#This Row],[Re-Datum]]&gt;0,YEAR(tb_rechnungen[[#This Row],[Re-Datum]]),"")</f>
        <v/>
      </c>
      <c r="Q577" s="19">
        <f>IF(tb_rechnungen[[#This Row],[Brutto]]&lt;&gt;0,tb_rechnungen[[#This Row],[Brutto]]-tb_rechnungen[[#This Row],[Netto]],"")</f>
        <v/>
      </c>
      <c r="R577" s="37">
        <f>IF(tb_rechnungen[[#This Row],[Netto]]&lt;&gt;0,ROUND(tb_rechnungen[[#This Row],[Steuer]]/tb_rechnungen[[#This Row],[Netto]],2),"")</f>
        <v/>
      </c>
    </row>
    <row r="578">
      <c r="A578" s="26" t="n"/>
      <c r="B578" s="27" t="n"/>
      <c r="C578" s="28" t="n"/>
      <c r="D578" s="28" t="n"/>
      <c r="E578" s="27" t="n"/>
      <c r="F578" s="29" t="n"/>
      <c r="G578" s="29" t="n"/>
      <c r="H578" s="30" t="n"/>
      <c r="I578" s="30" t="n"/>
      <c r="J578" s="30" t="n"/>
      <c r="K578" s="50" t="n"/>
      <c r="L578" s="50" t="n"/>
      <c r="M578" s="67" t="n"/>
      <c r="N578" s="30" t="n"/>
      <c r="O578" s="12">
        <f>IF(tb_rechnungen[[#This Row],[Re-Datum]]&gt;0,MONTH(tb_rechnungen[[#This Row],[Re-Datum]]),"")</f>
        <v/>
      </c>
      <c r="P578" s="13">
        <f>IF(tb_rechnungen[[#This Row],[Re-Datum]]&gt;0,YEAR(tb_rechnungen[[#This Row],[Re-Datum]]),"")</f>
        <v/>
      </c>
      <c r="Q578" s="19">
        <f>IF(tb_rechnungen[[#This Row],[Brutto]]&lt;&gt;0,tb_rechnungen[[#This Row],[Brutto]]-tb_rechnungen[[#This Row],[Netto]],"")</f>
        <v/>
      </c>
      <c r="R578" s="37">
        <f>IF(tb_rechnungen[[#This Row],[Netto]]&lt;&gt;0,ROUND(tb_rechnungen[[#This Row],[Steuer]]/tb_rechnungen[[#This Row],[Netto]],2),"")</f>
        <v/>
      </c>
    </row>
    <row r="579">
      <c r="A579" s="26" t="n"/>
      <c r="B579" s="27" t="n"/>
      <c r="C579" s="28" t="n"/>
      <c r="D579" s="28" t="n"/>
      <c r="E579" s="27" t="n"/>
      <c r="F579" s="29" t="n"/>
      <c r="G579" s="29" t="n"/>
      <c r="H579" s="30" t="n"/>
      <c r="I579" s="30" t="n"/>
      <c r="J579" s="30" t="n"/>
      <c r="K579" s="50" t="n"/>
      <c r="L579" s="50" t="n"/>
      <c r="M579" s="67" t="n"/>
      <c r="N579" s="30" t="n"/>
      <c r="O579" s="12">
        <f>IF(tb_rechnungen[[#This Row],[Re-Datum]]&gt;0,MONTH(tb_rechnungen[[#This Row],[Re-Datum]]),"")</f>
        <v/>
      </c>
      <c r="P579" s="13">
        <f>IF(tb_rechnungen[[#This Row],[Re-Datum]]&gt;0,YEAR(tb_rechnungen[[#This Row],[Re-Datum]]),"")</f>
        <v/>
      </c>
      <c r="Q579" s="19">
        <f>IF(tb_rechnungen[[#This Row],[Brutto]]&lt;&gt;0,tb_rechnungen[[#This Row],[Brutto]]-tb_rechnungen[[#This Row],[Netto]],"")</f>
        <v/>
      </c>
      <c r="R579" s="37">
        <f>IF(tb_rechnungen[[#This Row],[Netto]]&lt;&gt;0,ROUND(tb_rechnungen[[#This Row],[Steuer]]/tb_rechnungen[[#This Row],[Netto]],2),"")</f>
        <v/>
      </c>
    </row>
    <row r="580">
      <c r="A580" s="26" t="n"/>
      <c r="B580" s="27" t="n"/>
      <c r="C580" s="28" t="n"/>
      <c r="D580" s="28" t="n"/>
      <c r="E580" s="27" t="n"/>
      <c r="F580" s="29" t="n"/>
      <c r="G580" s="29" t="n"/>
      <c r="H580" s="30" t="n"/>
      <c r="I580" s="30" t="n"/>
      <c r="J580" s="30" t="n"/>
      <c r="K580" s="50" t="n"/>
      <c r="L580" s="50" t="n"/>
      <c r="M580" s="67" t="n"/>
      <c r="N580" s="30" t="n"/>
      <c r="O580" s="12">
        <f>IF(tb_rechnungen[[#This Row],[Re-Datum]]&gt;0,MONTH(tb_rechnungen[[#This Row],[Re-Datum]]),"")</f>
        <v/>
      </c>
      <c r="P580" s="13">
        <f>IF(tb_rechnungen[[#This Row],[Re-Datum]]&gt;0,YEAR(tb_rechnungen[[#This Row],[Re-Datum]]),"")</f>
        <v/>
      </c>
      <c r="Q580" s="19">
        <f>IF(tb_rechnungen[[#This Row],[Brutto]]&lt;&gt;0,tb_rechnungen[[#This Row],[Brutto]]-tb_rechnungen[[#This Row],[Netto]],"")</f>
        <v/>
      </c>
      <c r="R580" s="37">
        <f>IF(tb_rechnungen[[#This Row],[Netto]]&lt;&gt;0,ROUND(tb_rechnungen[[#This Row],[Steuer]]/tb_rechnungen[[#This Row],[Netto]],2),"")</f>
        <v/>
      </c>
    </row>
    <row r="581">
      <c r="A581" s="26" t="n"/>
      <c r="B581" s="27" t="n"/>
      <c r="C581" s="28" t="n"/>
      <c r="D581" s="28" t="n"/>
      <c r="E581" s="27" t="n"/>
      <c r="F581" s="29" t="n"/>
      <c r="G581" s="29" t="n"/>
      <c r="H581" s="30" t="n"/>
      <c r="I581" s="30" t="n"/>
      <c r="J581" s="30" t="n"/>
      <c r="K581" s="50" t="n"/>
      <c r="L581" s="50" t="n"/>
      <c r="M581" s="67" t="n"/>
      <c r="N581" s="30" t="n"/>
      <c r="O581" s="12">
        <f>IF(tb_rechnungen[[#This Row],[Re-Datum]]&gt;0,MONTH(tb_rechnungen[[#This Row],[Re-Datum]]),"")</f>
        <v/>
      </c>
      <c r="P581" s="13">
        <f>IF(tb_rechnungen[[#This Row],[Re-Datum]]&gt;0,YEAR(tb_rechnungen[[#This Row],[Re-Datum]]),"")</f>
        <v/>
      </c>
      <c r="Q581" s="19">
        <f>IF(tb_rechnungen[[#This Row],[Brutto]]&lt;&gt;0,tb_rechnungen[[#This Row],[Brutto]]-tb_rechnungen[[#This Row],[Netto]],"")</f>
        <v/>
      </c>
      <c r="R581" s="37">
        <f>IF(tb_rechnungen[[#This Row],[Netto]]&lt;&gt;0,ROUND(tb_rechnungen[[#This Row],[Steuer]]/tb_rechnungen[[#This Row],[Netto]],2),"")</f>
        <v/>
      </c>
    </row>
    <row r="582">
      <c r="A582" s="26" t="n"/>
      <c r="B582" s="27" t="n"/>
      <c r="C582" s="28" t="n"/>
      <c r="D582" s="28" t="n"/>
      <c r="E582" s="27" t="n"/>
      <c r="F582" s="29" t="n"/>
      <c r="G582" s="29" t="n"/>
      <c r="H582" s="30" t="n"/>
      <c r="I582" s="30" t="n"/>
      <c r="J582" s="30" t="n"/>
      <c r="K582" s="50" t="n"/>
      <c r="L582" s="50" t="n"/>
      <c r="M582" s="67" t="n"/>
      <c r="N582" s="30" t="n"/>
      <c r="O582" s="12">
        <f>IF(tb_rechnungen[[#This Row],[Re-Datum]]&gt;0,MONTH(tb_rechnungen[[#This Row],[Re-Datum]]),"")</f>
        <v/>
      </c>
      <c r="P582" s="13">
        <f>IF(tb_rechnungen[[#This Row],[Re-Datum]]&gt;0,YEAR(tb_rechnungen[[#This Row],[Re-Datum]]),"")</f>
        <v/>
      </c>
      <c r="Q582" s="19">
        <f>IF(tb_rechnungen[[#This Row],[Brutto]]&lt;&gt;0,tb_rechnungen[[#This Row],[Brutto]]-tb_rechnungen[[#This Row],[Netto]],"")</f>
        <v/>
      </c>
      <c r="R582" s="37">
        <f>IF(tb_rechnungen[[#This Row],[Netto]]&lt;&gt;0,ROUND(tb_rechnungen[[#This Row],[Steuer]]/tb_rechnungen[[#This Row],[Netto]],2),"")</f>
        <v/>
      </c>
    </row>
    <row r="583">
      <c r="A583" s="26" t="n"/>
      <c r="B583" s="27" t="n"/>
      <c r="C583" s="28" t="n"/>
      <c r="D583" s="28" t="n"/>
      <c r="E583" s="27" t="n"/>
      <c r="F583" s="29" t="n"/>
      <c r="G583" s="29" t="n"/>
      <c r="H583" s="30" t="n"/>
      <c r="I583" s="30" t="n"/>
      <c r="J583" s="30" t="n"/>
      <c r="K583" s="50" t="n"/>
      <c r="L583" s="50" t="n"/>
      <c r="M583" s="67" t="n"/>
      <c r="N583" s="30" t="n"/>
      <c r="O583" s="12">
        <f>IF(tb_rechnungen[[#This Row],[Re-Datum]]&gt;0,MONTH(tb_rechnungen[[#This Row],[Re-Datum]]),"")</f>
        <v/>
      </c>
      <c r="P583" s="13">
        <f>IF(tb_rechnungen[[#This Row],[Re-Datum]]&gt;0,YEAR(tb_rechnungen[[#This Row],[Re-Datum]]),"")</f>
        <v/>
      </c>
      <c r="Q583" s="19">
        <f>IF(tb_rechnungen[[#This Row],[Brutto]]&lt;&gt;0,tb_rechnungen[[#This Row],[Brutto]]-tb_rechnungen[[#This Row],[Netto]],"")</f>
        <v/>
      </c>
      <c r="R583" s="37">
        <f>IF(tb_rechnungen[[#This Row],[Netto]]&lt;&gt;0,ROUND(tb_rechnungen[[#This Row],[Steuer]]/tb_rechnungen[[#This Row],[Netto]],2),"")</f>
        <v/>
      </c>
    </row>
    <row r="584">
      <c r="A584" s="26" t="n"/>
      <c r="B584" s="27" t="n"/>
      <c r="C584" s="28" t="n"/>
      <c r="D584" s="28" t="n"/>
      <c r="E584" s="27" t="n"/>
      <c r="F584" s="29" t="n"/>
      <c r="G584" s="29" t="n"/>
      <c r="H584" s="30" t="n"/>
      <c r="I584" s="30" t="n"/>
      <c r="J584" s="30" t="n"/>
      <c r="K584" s="50" t="n"/>
      <c r="L584" s="50" t="n"/>
      <c r="M584" s="67" t="n"/>
      <c r="N584" s="30" t="n"/>
      <c r="O584" s="12">
        <f>IF(tb_rechnungen[[#This Row],[Re-Datum]]&gt;0,MONTH(tb_rechnungen[[#This Row],[Re-Datum]]),"")</f>
        <v/>
      </c>
      <c r="P584" s="13">
        <f>IF(tb_rechnungen[[#This Row],[Re-Datum]]&gt;0,YEAR(tb_rechnungen[[#This Row],[Re-Datum]]),"")</f>
        <v/>
      </c>
      <c r="Q584" s="19">
        <f>IF(tb_rechnungen[[#This Row],[Brutto]]&lt;&gt;0,tb_rechnungen[[#This Row],[Brutto]]-tb_rechnungen[[#This Row],[Netto]],"")</f>
        <v/>
      </c>
      <c r="R584" s="37">
        <f>IF(tb_rechnungen[[#This Row],[Netto]]&lt;&gt;0,ROUND(tb_rechnungen[[#This Row],[Steuer]]/tb_rechnungen[[#This Row],[Netto]],2),"")</f>
        <v/>
      </c>
    </row>
    <row r="585">
      <c r="A585" s="26" t="n"/>
      <c r="B585" s="27" t="n"/>
      <c r="C585" s="28" t="n"/>
      <c r="D585" s="28" t="n"/>
      <c r="E585" s="27" t="n"/>
      <c r="F585" s="29" t="n"/>
      <c r="G585" s="29" t="n"/>
      <c r="H585" s="30" t="n"/>
      <c r="I585" s="30" t="n"/>
      <c r="J585" s="30" t="n"/>
      <c r="K585" s="50" t="n"/>
      <c r="L585" s="50" t="n"/>
      <c r="M585" s="67" t="n"/>
      <c r="N585" s="30" t="n"/>
      <c r="O585" s="12">
        <f>IF(tb_rechnungen[[#This Row],[Re-Datum]]&gt;0,MONTH(tb_rechnungen[[#This Row],[Re-Datum]]),"")</f>
        <v/>
      </c>
      <c r="P585" s="13">
        <f>IF(tb_rechnungen[[#This Row],[Re-Datum]]&gt;0,YEAR(tb_rechnungen[[#This Row],[Re-Datum]]),"")</f>
        <v/>
      </c>
      <c r="Q585" s="19">
        <f>IF(tb_rechnungen[[#This Row],[Brutto]]&lt;&gt;0,tb_rechnungen[[#This Row],[Brutto]]-tb_rechnungen[[#This Row],[Netto]],"")</f>
        <v/>
      </c>
      <c r="R585" s="37">
        <f>IF(tb_rechnungen[[#This Row],[Netto]]&lt;&gt;0,ROUND(tb_rechnungen[[#This Row],[Steuer]]/tb_rechnungen[[#This Row],[Netto]],2),"")</f>
        <v/>
      </c>
    </row>
    <row r="586">
      <c r="A586" s="26" t="n"/>
      <c r="B586" s="27" t="n"/>
      <c r="C586" s="28" t="n"/>
      <c r="D586" s="28" t="n"/>
      <c r="E586" s="27" t="n"/>
      <c r="F586" s="29" t="n"/>
      <c r="G586" s="29" t="n"/>
      <c r="H586" s="30" t="n"/>
      <c r="I586" s="30" t="n"/>
      <c r="J586" s="30" t="n"/>
      <c r="K586" s="50" t="n"/>
      <c r="L586" s="50" t="n"/>
      <c r="M586" s="67" t="n"/>
      <c r="N586" s="30" t="n"/>
      <c r="O586" s="12">
        <f>IF(tb_rechnungen[[#This Row],[Re-Datum]]&gt;0,MONTH(tb_rechnungen[[#This Row],[Re-Datum]]),"")</f>
        <v/>
      </c>
      <c r="P586" s="13">
        <f>IF(tb_rechnungen[[#This Row],[Re-Datum]]&gt;0,YEAR(tb_rechnungen[[#This Row],[Re-Datum]]),"")</f>
        <v/>
      </c>
      <c r="Q586" s="19">
        <f>IF(tb_rechnungen[[#This Row],[Brutto]]&lt;&gt;0,tb_rechnungen[[#This Row],[Brutto]]-tb_rechnungen[[#This Row],[Netto]],"")</f>
        <v/>
      </c>
      <c r="R586" s="37">
        <f>IF(tb_rechnungen[[#This Row],[Netto]]&lt;&gt;0,ROUND(tb_rechnungen[[#This Row],[Steuer]]/tb_rechnungen[[#This Row],[Netto]],2),"")</f>
        <v/>
      </c>
    </row>
    <row r="587">
      <c r="A587" s="26" t="n"/>
      <c r="B587" s="27" t="n"/>
      <c r="C587" s="28" t="n"/>
      <c r="D587" s="28" t="n"/>
      <c r="E587" s="27" t="n"/>
      <c r="F587" s="29" t="n"/>
      <c r="G587" s="29" t="n"/>
      <c r="H587" s="30" t="n"/>
      <c r="I587" s="30" t="n"/>
      <c r="J587" s="30" t="n"/>
      <c r="K587" s="50" t="n"/>
      <c r="L587" s="50" t="n"/>
      <c r="M587" s="67" t="n"/>
      <c r="N587" s="30" t="n"/>
      <c r="O587" s="12">
        <f>IF(tb_rechnungen[[#This Row],[Re-Datum]]&gt;0,MONTH(tb_rechnungen[[#This Row],[Re-Datum]]),"")</f>
        <v/>
      </c>
      <c r="P587" s="13">
        <f>IF(tb_rechnungen[[#This Row],[Re-Datum]]&gt;0,YEAR(tb_rechnungen[[#This Row],[Re-Datum]]),"")</f>
        <v/>
      </c>
      <c r="Q587" s="19">
        <f>IF(tb_rechnungen[[#This Row],[Brutto]]&lt;&gt;0,tb_rechnungen[[#This Row],[Brutto]]-tb_rechnungen[[#This Row],[Netto]],"")</f>
        <v/>
      </c>
      <c r="R587" s="37">
        <f>IF(tb_rechnungen[[#This Row],[Netto]]&lt;&gt;0,ROUND(tb_rechnungen[[#This Row],[Steuer]]/tb_rechnungen[[#This Row],[Netto]],2),"")</f>
        <v/>
      </c>
    </row>
    <row r="588">
      <c r="A588" s="26" t="n"/>
      <c r="B588" s="27" t="n"/>
      <c r="C588" s="28" t="n"/>
      <c r="D588" s="28" t="n"/>
      <c r="E588" s="27" t="n"/>
      <c r="F588" s="29" t="n"/>
      <c r="G588" s="29" t="n"/>
      <c r="H588" s="30" t="n"/>
      <c r="I588" s="30" t="n"/>
      <c r="J588" s="30" t="n"/>
      <c r="K588" s="50" t="n"/>
      <c r="L588" s="50" t="n"/>
      <c r="M588" s="67" t="n"/>
      <c r="N588" s="30" t="n"/>
      <c r="O588" s="12">
        <f>IF(tb_rechnungen[[#This Row],[Re-Datum]]&gt;0,MONTH(tb_rechnungen[[#This Row],[Re-Datum]]),"")</f>
        <v/>
      </c>
      <c r="P588" s="13">
        <f>IF(tb_rechnungen[[#This Row],[Re-Datum]]&gt;0,YEAR(tb_rechnungen[[#This Row],[Re-Datum]]),"")</f>
        <v/>
      </c>
      <c r="Q588" s="19">
        <f>IF(tb_rechnungen[[#This Row],[Brutto]]&lt;&gt;0,tb_rechnungen[[#This Row],[Brutto]]-tb_rechnungen[[#This Row],[Netto]],"")</f>
        <v/>
      </c>
      <c r="R588" s="37">
        <f>IF(tb_rechnungen[[#This Row],[Netto]]&lt;&gt;0,ROUND(tb_rechnungen[[#This Row],[Steuer]]/tb_rechnungen[[#This Row],[Netto]],2),"")</f>
        <v/>
      </c>
    </row>
    <row r="589">
      <c r="A589" s="26" t="n"/>
      <c r="B589" s="27" t="n"/>
      <c r="C589" s="28" t="n"/>
      <c r="D589" s="28" t="n"/>
      <c r="E589" s="27" t="n"/>
      <c r="F589" s="29" t="n"/>
      <c r="G589" s="29" t="n"/>
      <c r="H589" s="30" t="n"/>
      <c r="I589" s="30" t="n"/>
      <c r="J589" s="30" t="n"/>
      <c r="K589" s="50" t="n"/>
      <c r="L589" s="50" t="n"/>
      <c r="M589" s="67" t="n"/>
      <c r="N589" s="30" t="n"/>
      <c r="O589" s="12">
        <f>IF(tb_rechnungen[[#This Row],[Re-Datum]]&gt;0,MONTH(tb_rechnungen[[#This Row],[Re-Datum]]),"")</f>
        <v/>
      </c>
      <c r="P589" s="13">
        <f>IF(tb_rechnungen[[#This Row],[Re-Datum]]&gt;0,YEAR(tb_rechnungen[[#This Row],[Re-Datum]]),"")</f>
        <v/>
      </c>
      <c r="Q589" s="19">
        <f>IF(tb_rechnungen[[#This Row],[Brutto]]&lt;&gt;0,tb_rechnungen[[#This Row],[Brutto]]-tb_rechnungen[[#This Row],[Netto]],"")</f>
        <v/>
      </c>
      <c r="R589" s="37">
        <f>IF(tb_rechnungen[[#This Row],[Netto]]&lt;&gt;0,ROUND(tb_rechnungen[[#This Row],[Steuer]]/tb_rechnungen[[#This Row],[Netto]],2),"")</f>
        <v/>
      </c>
    </row>
    <row r="590">
      <c r="A590" s="26" t="n"/>
      <c r="B590" s="27" t="n"/>
      <c r="C590" s="28" t="n"/>
      <c r="D590" s="28" t="n"/>
      <c r="E590" s="27" t="n"/>
      <c r="F590" s="29" t="n"/>
      <c r="G590" s="29" t="n"/>
      <c r="H590" s="30" t="n"/>
      <c r="I590" s="30" t="n"/>
      <c r="J590" s="30" t="n"/>
      <c r="K590" s="50" t="n"/>
      <c r="L590" s="50" t="n"/>
      <c r="M590" s="67" t="n"/>
      <c r="N590" s="30" t="n"/>
      <c r="O590" s="12">
        <f>IF(tb_rechnungen[[#This Row],[Re-Datum]]&gt;0,MONTH(tb_rechnungen[[#This Row],[Re-Datum]]),"")</f>
        <v/>
      </c>
      <c r="P590" s="13">
        <f>IF(tb_rechnungen[[#This Row],[Re-Datum]]&gt;0,YEAR(tb_rechnungen[[#This Row],[Re-Datum]]),"")</f>
        <v/>
      </c>
      <c r="Q590" s="19">
        <f>IF(tb_rechnungen[[#This Row],[Brutto]]&lt;&gt;0,tb_rechnungen[[#This Row],[Brutto]]-tb_rechnungen[[#This Row],[Netto]],"")</f>
        <v/>
      </c>
      <c r="R590" s="37">
        <f>IF(tb_rechnungen[[#This Row],[Netto]]&lt;&gt;0,ROUND(tb_rechnungen[[#This Row],[Steuer]]/tb_rechnungen[[#This Row],[Netto]],2),"")</f>
        <v/>
      </c>
    </row>
    <row r="591">
      <c r="A591" s="26" t="n"/>
      <c r="B591" s="27" t="n"/>
      <c r="C591" s="28" t="n"/>
      <c r="D591" s="28" t="n"/>
      <c r="E591" s="27" t="n"/>
      <c r="F591" s="29" t="n"/>
      <c r="G591" s="29" t="n"/>
      <c r="H591" s="30" t="n"/>
      <c r="I591" s="30" t="n"/>
      <c r="J591" s="30" t="n"/>
      <c r="K591" s="50" t="n"/>
      <c r="L591" s="50" t="n"/>
      <c r="M591" s="67" t="n"/>
      <c r="N591" s="30" t="n"/>
      <c r="O591" s="12">
        <f>IF(tb_rechnungen[[#This Row],[Re-Datum]]&gt;0,MONTH(tb_rechnungen[[#This Row],[Re-Datum]]),"")</f>
        <v/>
      </c>
      <c r="P591" s="13">
        <f>IF(tb_rechnungen[[#This Row],[Re-Datum]]&gt;0,YEAR(tb_rechnungen[[#This Row],[Re-Datum]]),"")</f>
        <v/>
      </c>
      <c r="Q591" s="19">
        <f>IF(tb_rechnungen[[#This Row],[Brutto]]&lt;&gt;0,tb_rechnungen[[#This Row],[Brutto]]-tb_rechnungen[[#This Row],[Netto]],"")</f>
        <v/>
      </c>
      <c r="R591" s="37">
        <f>IF(tb_rechnungen[[#This Row],[Netto]]&lt;&gt;0,ROUND(tb_rechnungen[[#This Row],[Steuer]]/tb_rechnungen[[#This Row],[Netto]],2),"")</f>
        <v/>
      </c>
    </row>
    <row r="592">
      <c r="A592" s="26" t="n"/>
      <c r="B592" s="27" t="n"/>
      <c r="C592" s="28" t="n"/>
      <c r="D592" s="28" t="n"/>
      <c r="E592" s="27" t="n"/>
      <c r="F592" s="29" t="n"/>
      <c r="G592" s="29" t="n"/>
      <c r="H592" s="30" t="n"/>
      <c r="I592" s="30" t="n"/>
      <c r="J592" s="30" t="n"/>
      <c r="K592" s="50" t="n"/>
      <c r="L592" s="50" t="n"/>
      <c r="M592" s="67" t="n"/>
      <c r="N592" s="30" t="n"/>
      <c r="O592" s="12">
        <f>IF(tb_rechnungen[[#This Row],[Re-Datum]]&gt;0,MONTH(tb_rechnungen[[#This Row],[Re-Datum]]),"")</f>
        <v/>
      </c>
      <c r="P592" s="13">
        <f>IF(tb_rechnungen[[#This Row],[Re-Datum]]&gt;0,YEAR(tb_rechnungen[[#This Row],[Re-Datum]]),"")</f>
        <v/>
      </c>
      <c r="Q592" s="19">
        <f>IF(tb_rechnungen[[#This Row],[Brutto]]&lt;&gt;0,tb_rechnungen[[#This Row],[Brutto]]-tb_rechnungen[[#This Row],[Netto]],"")</f>
        <v/>
      </c>
      <c r="R592" s="37">
        <f>IF(tb_rechnungen[[#This Row],[Netto]]&lt;&gt;0,ROUND(tb_rechnungen[[#This Row],[Steuer]]/tb_rechnungen[[#This Row],[Netto]],2),"")</f>
        <v/>
      </c>
    </row>
    <row r="593">
      <c r="A593" s="26" t="n"/>
      <c r="B593" s="27" t="n"/>
      <c r="C593" s="28" t="n"/>
      <c r="D593" s="28" t="n"/>
      <c r="E593" s="27" t="n"/>
      <c r="F593" s="29" t="n"/>
      <c r="G593" s="29" t="n"/>
      <c r="H593" s="30" t="n"/>
      <c r="I593" s="30" t="n"/>
      <c r="J593" s="30" t="n"/>
      <c r="K593" s="50" t="n"/>
      <c r="L593" s="50" t="n"/>
      <c r="M593" s="67" t="n"/>
      <c r="N593" s="30" t="n"/>
      <c r="O593" s="12">
        <f>IF(tb_rechnungen[[#This Row],[Re-Datum]]&gt;0,MONTH(tb_rechnungen[[#This Row],[Re-Datum]]),"")</f>
        <v/>
      </c>
      <c r="P593" s="13">
        <f>IF(tb_rechnungen[[#This Row],[Re-Datum]]&gt;0,YEAR(tb_rechnungen[[#This Row],[Re-Datum]]),"")</f>
        <v/>
      </c>
      <c r="Q593" s="19">
        <f>IF(tb_rechnungen[[#This Row],[Brutto]]&lt;&gt;0,tb_rechnungen[[#This Row],[Brutto]]-tb_rechnungen[[#This Row],[Netto]],"")</f>
        <v/>
      </c>
      <c r="R593" s="37">
        <f>IF(tb_rechnungen[[#This Row],[Netto]]&lt;&gt;0,ROUND(tb_rechnungen[[#This Row],[Steuer]]/tb_rechnungen[[#This Row],[Netto]],2),"")</f>
        <v/>
      </c>
    </row>
    <row r="594">
      <c r="A594" s="26" t="n"/>
      <c r="B594" s="27" t="n"/>
      <c r="C594" s="28" t="n"/>
      <c r="D594" s="28" t="n"/>
      <c r="E594" s="27" t="n"/>
      <c r="F594" s="29" t="n"/>
      <c r="G594" s="29" t="n"/>
      <c r="H594" s="30" t="n"/>
      <c r="I594" s="30" t="n"/>
      <c r="J594" s="30" t="n"/>
      <c r="K594" s="50" t="n"/>
      <c r="L594" s="50" t="n"/>
      <c r="M594" s="67" t="n"/>
      <c r="N594" s="30" t="n"/>
      <c r="O594" s="12">
        <f>IF(tb_rechnungen[[#This Row],[Re-Datum]]&gt;0,MONTH(tb_rechnungen[[#This Row],[Re-Datum]]),"")</f>
        <v/>
      </c>
      <c r="P594" s="13">
        <f>IF(tb_rechnungen[[#This Row],[Re-Datum]]&gt;0,YEAR(tb_rechnungen[[#This Row],[Re-Datum]]),"")</f>
        <v/>
      </c>
      <c r="Q594" s="19">
        <f>IF(tb_rechnungen[[#This Row],[Brutto]]&lt;&gt;0,tb_rechnungen[[#This Row],[Brutto]]-tb_rechnungen[[#This Row],[Netto]],"")</f>
        <v/>
      </c>
      <c r="R594" s="37">
        <f>IF(tb_rechnungen[[#This Row],[Netto]]&lt;&gt;0,ROUND(tb_rechnungen[[#This Row],[Steuer]]/tb_rechnungen[[#This Row],[Netto]],2),"")</f>
        <v/>
      </c>
    </row>
    <row r="595">
      <c r="A595" s="26" t="n"/>
      <c r="B595" s="27" t="n"/>
      <c r="C595" s="28" t="n"/>
      <c r="D595" s="28" t="n"/>
      <c r="E595" s="27" t="n"/>
      <c r="F595" s="29" t="n"/>
      <c r="G595" s="29" t="n"/>
      <c r="H595" s="30" t="n"/>
      <c r="I595" s="30" t="n"/>
      <c r="J595" s="30" t="n"/>
      <c r="K595" s="50" t="n"/>
      <c r="L595" s="50" t="n"/>
      <c r="M595" s="67" t="n"/>
      <c r="N595" s="30" t="n"/>
      <c r="O595" s="12">
        <f>IF(tb_rechnungen[[#This Row],[Re-Datum]]&gt;0,MONTH(tb_rechnungen[[#This Row],[Re-Datum]]),"")</f>
        <v/>
      </c>
      <c r="P595" s="13">
        <f>IF(tb_rechnungen[[#This Row],[Re-Datum]]&gt;0,YEAR(tb_rechnungen[[#This Row],[Re-Datum]]),"")</f>
        <v/>
      </c>
      <c r="Q595" s="19">
        <f>IF(tb_rechnungen[[#This Row],[Brutto]]&lt;&gt;0,tb_rechnungen[[#This Row],[Brutto]]-tb_rechnungen[[#This Row],[Netto]],"")</f>
        <v/>
      </c>
      <c r="R595" s="37">
        <f>IF(tb_rechnungen[[#This Row],[Netto]]&lt;&gt;0,ROUND(tb_rechnungen[[#This Row],[Steuer]]/tb_rechnungen[[#This Row],[Netto]],2),"")</f>
        <v/>
      </c>
    </row>
    <row r="596">
      <c r="A596" s="26" t="n"/>
      <c r="B596" s="27" t="n"/>
      <c r="C596" s="28" t="n"/>
      <c r="D596" s="28" t="n"/>
      <c r="E596" s="27" t="n"/>
      <c r="F596" s="29" t="n"/>
      <c r="G596" s="29" t="n"/>
      <c r="H596" s="30" t="n"/>
      <c r="I596" s="30" t="n"/>
      <c r="J596" s="30" t="n"/>
      <c r="K596" s="50" t="n"/>
      <c r="L596" s="50" t="n"/>
      <c r="M596" s="67" t="n"/>
      <c r="N596" s="30" t="n"/>
      <c r="O596" s="12">
        <f>IF(tb_rechnungen[[#This Row],[Re-Datum]]&gt;0,MONTH(tb_rechnungen[[#This Row],[Re-Datum]]),"")</f>
        <v/>
      </c>
      <c r="P596" s="13">
        <f>IF(tb_rechnungen[[#This Row],[Re-Datum]]&gt;0,YEAR(tb_rechnungen[[#This Row],[Re-Datum]]),"")</f>
        <v/>
      </c>
      <c r="Q596" s="19">
        <f>IF(tb_rechnungen[[#This Row],[Brutto]]&lt;&gt;0,tb_rechnungen[[#This Row],[Brutto]]-tb_rechnungen[[#This Row],[Netto]],"")</f>
        <v/>
      </c>
      <c r="R596" s="37">
        <f>IF(tb_rechnungen[[#This Row],[Netto]]&lt;&gt;0,ROUND(tb_rechnungen[[#This Row],[Steuer]]/tb_rechnungen[[#This Row],[Netto]],2),"")</f>
        <v/>
      </c>
    </row>
    <row r="597">
      <c r="A597" s="26" t="n"/>
      <c r="B597" s="27" t="n"/>
      <c r="C597" s="28" t="n"/>
      <c r="D597" s="28" t="n"/>
      <c r="E597" s="27" t="n"/>
      <c r="F597" s="29" t="n"/>
      <c r="G597" s="29" t="n"/>
      <c r="H597" s="30" t="n"/>
      <c r="I597" s="30" t="n"/>
      <c r="J597" s="30" t="n"/>
      <c r="K597" s="50" t="n"/>
      <c r="L597" s="50" t="n"/>
      <c r="M597" s="67" t="n"/>
      <c r="N597" s="30" t="n"/>
      <c r="O597" s="12">
        <f>IF(tb_rechnungen[[#This Row],[Re-Datum]]&gt;0,MONTH(tb_rechnungen[[#This Row],[Re-Datum]]),"")</f>
        <v/>
      </c>
      <c r="P597" s="13">
        <f>IF(tb_rechnungen[[#This Row],[Re-Datum]]&gt;0,YEAR(tb_rechnungen[[#This Row],[Re-Datum]]),"")</f>
        <v/>
      </c>
      <c r="Q597" s="19">
        <f>IF(tb_rechnungen[[#This Row],[Brutto]]&lt;&gt;0,tb_rechnungen[[#This Row],[Brutto]]-tb_rechnungen[[#This Row],[Netto]],"")</f>
        <v/>
      </c>
      <c r="R597" s="37">
        <f>IF(tb_rechnungen[[#This Row],[Netto]]&lt;&gt;0,ROUND(tb_rechnungen[[#This Row],[Steuer]]/tb_rechnungen[[#This Row],[Netto]],2),"")</f>
        <v/>
      </c>
    </row>
    <row r="598">
      <c r="A598" s="26" t="n"/>
      <c r="B598" s="27" t="n"/>
      <c r="C598" s="28" t="n"/>
      <c r="D598" s="28" t="n"/>
      <c r="E598" s="27" t="n"/>
      <c r="F598" s="29" t="n"/>
      <c r="G598" s="29" t="n"/>
      <c r="H598" s="30" t="n"/>
      <c r="I598" s="30" t="n"/>
      <c r="J598" s="30" t="n"/>
      <c r="K598" s="50" t="n"/>
      <c r="L598" s="50" t="n"/>
      <c r="M598" s="67" t="n"/>
      <c r="N598" s="30" t="n"/>
      <c r="O598" s="12">
        <f>IF(tb_rechnungen[[#This Row],[Re-Datum]]&gt;0,MONTH(tb_rechnungen[[#This Row],[Re-Datum]]),"")</f>
        <v/>
      </c>
      <c r="P598" s="13">
        <f>IF(tb_rechnungen[[#This Row],[Re-Datum]]&gt;0,YEAR(tb_rechnungen[[#This Row],[Re-Datum]]),"")</f>
        <v/>
      </c>
      <c r="Q598" s="19">
        <f>IF(tb_rechnungen[[#This Row],[Brutto]]&lt;&gt;0,tb_rechnungen[[#This Row],[Brutto]]-tb_rechnungen[[#This Row],[Netto]],"")</f>
        <v/>
      </c>
      <c r="R598" s="37">
        <f>IF(tb_rechnungen[[#This Row],[Netto]]&lt;&gt;0,ROUND(tb_rechnungen[[#This Row],[Steuer]]/tb_rechnungen[[#This Row],[Netto]],2),"")</f>
        <v/>
      </c>
    </row>
    <row r="599">
      <c r="A599" s="26" t="n"/>
      <c r="B599" s="27" t="n"/>
      <c r="C599" s="28" t="n"/>
      <c r="D599" s="28" t="n"/>
      <c r="E599" s="27" t="n"/>
      <c r="F599" s="29" t="n"/>
      <c r="G599" s="29" t="n"/>
      <c r="H599" s="30" t="n"/>
      <c r="I599" s="30" t="n"/>
      <c r="J599" s="30" t="n"/>
      <c r="K599" s="50" t="n"/>
      <c r="L599" s="50" t="n"/>
      <c r="M599" s="67" t="n"/>
      <c r="N599" s="30" t="n"/>
      <c r="O599" s="12">
        <f>IF(tb_rechnungen[[#This Row],[Re-Datum]]&gt;0,MONTH(tb_rechnungen[[#This Row],[Re-Datum]]),"")</f>
        <v/>
      </c>
      <c r="P599" s="13">
        <f>IF(tb_rechnungen[[#This Row],[Re-Datum]]&gt;0,YEAR(tb_rechnungen[[#This Row],[Re-Datum]]),"")</f>
        <v/>
      </c>
      <c r="Q599" s="19">
        <f>IF(tb_rechnungen[[#This Row],[Brutto]]&lt;&gt;0,tb_rechnungen[[#This Row],[Brutto]]-tb_rechnungen[[#This Row],[Netto]],"")</f>
        <v/>
      </c>
      <c r="R599" s="37">
        <f>IF(tb_rechnungen[[#This Row],[Netto]]&lt;&gt;0,ROUND(tb_rechnungen[[#This Row],[Steuer]]/tb_rechnungen[[#This Row],[Netto]],2),"")</f>
        <v/>
      </c>
    </row>
    <row r="600">
      <c r="A600" s="26" t="n"/>
      <c r="B600" s="27" t="n"/>
      <c r="C600" s="28" t="n"/>
      <c r="D600" s="28" t="n"/>
      <c r="E600" s="27" t="n"/>
      <c r="F600" s="29" t="n"/>
      <c r="G600" s="29" t="n"/>
      <c r="H600" s="30" t="n"/>
      <c r="I600" s="30" t="n"/>
      <c r="J600" s="30" t="n"/>
      <c r="K600" s="50" t="n"/>
      <c r="L600" s="50" t="n"/>
      <c r="M600" s="67" t="n"/>
      <c r="N600" s="30" t="n"/>
      <c r="O600" s="12">
        <f>IF(tb_rechnungen[[#This Row],[Re-Datum]]&gt;0,MONTH(tb_rechnungen[[#This Row],[Re-Datum]]),"")</f>
        <v/>
      </c>
      <c r="P600" s="13">
        <f>IF(tb_rechnungen[[#This Row],[Re-Datum]]&gt;0,YEAR(tb_rechnungen[[#This Row],[Re-Datum]]),"")</f>
        <v/>
      </c>
      <c r="Q600" s="19">
        <f>IF(tb_rechnungen[[#This Row],[Brutto]]&lt;&gt;0,tb_rechnungen[[#This Row],[Brutto]]-tb_rechnungen[[#This Row],[Netto]],"")</f>
        <v/>
      </c>
      <c r="R600" s="37">
        <f>IF(tb_rechnungen[[#This Row],[Netto]]&lt;&gt;0,ROUND(tb_rechnungen[[#This Row],[Steuer]]/tb_rechnungen[[#This Row],[Netto]],2),"")</f>
        <v/>
      </c>
    </row>
    <row r="601">
      <c r="A601" s="26" t="n"/>
      <c r="B601" s="27" t="n"/>
      <c r="C601" s="28" t="n"/>
      <c r="D601" s="28" t="n"/>
      <c r="E601" s="27" t="n"/>
      <c r="F601" s="29" t="n"/>
      <c r="G601" s="29" t="n"/>
      <c r="H601" s="30" t="n"/>
      <c r="I601" s="30" t="n"/>
      <c r="J601" s="30" t="n"/>
      <c r="K601" s="50" t="n"/>
      <c r="L601" s="50" t="n"/>
      <c r="M601" s="67" t="n"/>
      <c r="N601" s="30" t="n"/>
      <c r="O601" s="12">
        <f>IF(tb_rechnungen[[#This Row],[Re-Datum]]&gt;0,MONTH(tb_rechnungen[[#This Row],[Re-Datum]]),"")</f>
        <v/>
      </c>
      <c r="P601" s="13">
        <f>IF(tb_rechnungen[[#This Row],[Re-Datum]]&gt;0,YEAR(tb_rechnungen[[#This Row],[Re-Datum]]),"")</f>
        <v/>
      </c>
      <c r="Q601" s="19">
        <f>IF(tb_rechnungen[[#This Row],[Brutto]]&lt;&gt;0,tb_rechnungen[[#This Row],[Brutto]]-tb_rechnungen[[#This Row],[Netto]],"")</f>
        <v/>
      </c>
      <c r="R601" s="37">
        <f>IF(tb_rechnungen[[#This Row],[Netto]]&lt;&gt;0,ROUND(tb_rechnungen[[#This Row],[Steuer]]/tb_rechnungen[[#This Row],[Netto]],2),"")</f>
        <v/>
      </c>
    </row>
    <row r="602">
      <c r="A602" s="26" t="n"/>
      <c r="B602" s="27" t="n"/>
      <c r="C602" s="28" t="n"/>
      <c r="D602" s="28" t="n"/>
      <c r="E602" s="27" t="n"/>
      <c r="F602" s="29" t="n"/>
      <c r="G602" s="29" t="n"/>
      <c r="H602" s="30" t="n"/>
      <c r="I602" s="30" t="n"/>
      <c r="J602" s="30" t="n"/>
      <c r="K602" s="50" t="n"/>
      <c r="L602" s="50" t="n"/>
      <c r="M602" s="67" t="n"/>
      <c r="N602" s="30" t="n"/>
      <c r="O602" s="12">
        <f>IF(tb_rechnungen[[#This Row],[Re-Datum]]&gt;0,MONTH(tb_rechnungen[[#This Row],[Re-Datum]]),"")</f>
        <v/>
      </c>
      <c r="P602" s="13">
        <f>IF(tb_rechnungen[[#This Row],[Re-Datum]]&gt;0,YEAR(tb_rechnungen[[#This Row],[Re-Datum]]),"")</f>
        <v/>
      </c>
      <c r="Q602" s="19">
        <f>IF(tb_rechnungen[[#This Row],[Brutto]]&lt;&gt;0,tb_rechnungen[[#This Row],[Brutto]]-tb_rechnungen[[#This Row],[Netto]],"")</f>
        <v/>
      </c>
      <c r="R602" s="37">
        <f>IF(tb_rechnungen[[#This Row],[Netto]]&lt;&gt;0,ROUND(tb_rechnungen[[#This Row],[Steuer]]/tb_rechnungen[[#This Row],[Netto]],2),"")</f>
        <v/>
      </c>
    </row>
    <row r="603">
      <c r="A603" s="26" t="n"/>
      <c r="B603" s="27" t="n"/>
      <c r="C603" s="28" t="n"/>
      <c r="D603" s="28" t="n"/>
      <c r="E603" s="27" t="n"/>
      <c r="F603" s="29" t="n"/>
      <c r="G603" s="29" t="n"/>
      <c r="H603" s="30" t="n"/>
      <c r="I603" s="30" t="n"/>
      <c r="J603" s="30" t="n"/>
      <c r="K603" s="50" t="n"/>
      <c r="L603" s="50" t="n"/>
      <c r="M603" s="67" t="n"/>
      <c r="N603" s="30" t="n"/>
      <c r="O603" s="12">
        <f>IF(tb_rechnungen[[#This Row],[Re-Datum]]&gt;0,MONTH(tb_rechnungen[[#This Row],[Re-Datum]]),"")</f>
        <v/>
      </c>
      <c r="P603" s="13">
        <f>IF(tb_rechnungen[[#This Row],[Re-Datum]]&gt;0,YEAR(tb_rechnungen[[#This Row],[Re-Datum]]),"")</f>
        <v/>
      </c>
      <c r="Q603" s="19">
        <f>IF(tb_rechnungen[[#This Row],[Brutto]]&lt;&gt;0,tb_rechnungen[[#This Row],[Brutto]]-tb_rechnungen[[#This Row],[Netto]],"")</f>
        <v/>
      </c>
      <c r="R603" s="37">
        <f>IF(tb_rechnungen[[#This Row],[Netto]]&lt;&gt;0,ROUND(tb_rechnungen[[#This Row],[Steuer]]/tb_rechnungen[[#This Row],[Netto]],2),"")</f>
        <v/>
      </c>
    </row>
    <row r="604">
      <c r="A604" s="26" t="n"/>
      <c r="B604" s="27" t="n"/>
      <c r="C604" s="28" t="n"/>
      <c r="D604" s="28" t="n"/>
      <c r="E604" s="27" t="n"/>
      <c r="F604" s="29" t="n"/>
      <c r="G604" s="29" t="n"/>
      <c r="H604" s="30" t="n"/>
      <c r="I604" s="30" t="n"/>
      <c r="J604" s="30" t="n"/>
      <c r="K604" s="50" t="n"/>
      <c r="L604" s="50" t="n"/>
      <c r="M604" s="67" t="n"/>
      <c r="N604" s="30" t="n"/>
      <c r="O604" s="12">
        <f>IF(tb_rechnungen[[#This Row],[Re-Datum]]&gt;0,MONTH(tb_rechnungen[[#This Row],[Re-Datum]]),"")</f>
        <v/>
      </c>
      <c r="P604" s="13">
        <f>IF(tb_rechnungen[[#This Row],[Re-Datum]]&gt;0,YEAR(tb_rechnungen[[#This Row],[Re-Datum]]),"")</f>
        <v/>
      </c>
      <c r="Q604" s="19">
        <f>IF(tb_rechnungen[[#This Row],[Brutto]]&lt;&gt;0,tb_rechnungen[[#This Row],[Brutto]]-tb_rechnungen[[#This Row],[Netto]],"")</f>
        <v/>
      </c>
      <c r="R604" s="37">
        <f>IF(tb_rechnungen[[#This Row],[Netto]]&lt;&gt;0,ROUND(tb_rechnungen[[#This Row],[Steuer]]/tb_rechnungen[[#This Row],[Netto]],2),"")</f>
        <v/>
      </c>
    </row>
    <row r="605">
      <c r="A605" s="26" t="n"/>
      <c r="B605" s="27" t="n"/>
      <c r="C605" s="28" t="n"/>
      <c r="D605" s="28" t="n"/>
      <c r="E605" s="27" t="n"/>
      <c r="F605" s="29" t="n"/>
      <c r="G605" s="29" t="n"/>
      <c r="H605" s="30" t="n"/>
      <c r="I605" s="30" t="n"/>
      <c r="J605" s="30" t="n"/>
      <c r="K605" s="50" t="n"/>
      <c r="L605" s="50" t="n"/>
      <c r="M605" s="67" t="n"/>
      <c r="N605" s="30" t="n"/>
      <c r="O605" s="12">
        <f>IF(tb_rechnungen[[#This Row],[Re-Datum]]&gt;0,MONTH(tb_rechnungen[[#This Row],[Re-Datum]]),"")</f>
        <v/>
      </c>
      <c r="P605" s="13">
        <f>IF(tb_rechnungen[[#This Row],[Re-Datum]]&gt;0,YEAR(tb_rechnungen[[#This Row],[Re-Datum]]),"")</f>
        <v/>
      </c>
      <c r="Q605" s="19">
        <f>IF(tb_rechnungen[[#This Row],[Brutto]]&lt;&gt;0,tb_rechnungen[[#This Row],[Brutto]]-tb_rechnungen[[#This Row],[Netto]],"")</f>
        <v/>
      </c>
      <c r="R605" s="37">
        <f>IF(tb_rechnungen[[#This Row],[Netto]]&lt;&gt;0,ROUND(tb_rechnungen[[#This Row],[Steuer]]/tb_rechnungen[[#This Row],[Netto]],2),"")</f>
        <v/>
      </c>
    </row>
    <row r="606">
      <c r="A606" s="26" t="n"/>
      <c r="B606" s="27" t="n"/>
      <c r="C606" s="28" t="n"/>
      <c r="D606" s="28" t="n"/>
      <c r="E606" s="27" t="n"/>
      <c r="F606" s="29" t="n"/>
      <c r="G606" s="29" t="n"/>
      <c r="H606" s="30" t="n"/>
      <c r="I606" s="30" t="n"/>
      <c r="J606" s="30" t="n"/>
      <c r="K606" s="50" t="n"/>
      <c r="L606" s="50" t="n"/>
      <c r="M606" s="67" t="n"/>
      <c r="N606" s="30" t="n"/>
      <c r="O606" s="12">
        <f>IF(tb_rechnungen[[#This Row],[Re-Datum]]&gt;0,MONTH(tb_rechnungen[[#This Row],[Re-Datum]]),"")</f>
        <v/>
      </c>
      <c r="P606" s="13">
        <f>IF(tb_rechnungen[[#This Row],[Re-Datum]]&gt;0,YEAR(tb_rechnungen[[#This Row],[Re-Datum]]),"")</f>
        <v/>
      </c>
      <c r="Q606" s="19">
        <f>IF(tb_rechnungen[[#This Row],[Brutto]]&lt;&gt;0,tb_rechnungen[[#This Row],[Brutto]]-tb_rechnungen[[#This Row],[Netto]],"")</f>
        <v/>
      </c>
      <c r="R606" s="37">
        <f>IF(tb_rechnungen[[#This Row],[Netto]]&lt;&gt;0,ROUND(tb_rechnungen[[#This Row],[Steuer]]/tb_rechnungen[[#This Row],[Netto]],2),"")</f>
        <v/>
      </c>
    </row>
    <row r="607">
      <c r="A607" s="26" t="n"/>
      <c r="B607" s="27" t="n"/>
      <c r="C607" s="28" t="n"/>
      <c r="D607" s="28" t="n"/>
      <c r="E607" s="27" t="n"/>
      <c r="F607" s="29" t="n"/>
      <c r="G607" s="29" t="n"/>
      <c r="H607" s="30" t="n"/>
      <c r="I607" s="30" t="n"/>
      <c r="J607" s="30" t="n"/>
      <c r="K607" s="50" t="n"/>
      <c r="L607" s="50" t="n"/>
      <c r="M607" s="67" t="n"/>
      <c r="N607" s="30" t="n"/>
      <c r="O607" s="12">
        <f>IF(tb_rechnungen[[#This Row],[Re-Datum]]&gt;0,MONTH(tb_rechnungen[[#This Row],[Re-Datum]]),"")</f>
        <v/>
      </c>
      <c r="P607" s="13">
        <f>IF(tb_rechnungen[[#This Row],[Re-Datum]]&gt;0,YEAR(tb_rechnungen[[#This Row],[Re-Datum]]),"")</f>
        <v/>
      </c>
      <c r="Q607" s="19">
        <f>IF(tb_rechnungen[[#This Row],[Brutto]]&lt;&gt;0,tb_rechnungen[[#This Row],[Brutto]]-tb_rechnungen[[#This Row],[Netto]],"")</f>
        <v/>
      </c>
      <c r="R607" s="37">
        <f>IF(tb_rechnungen[[#This Row],[Netto]]&lt;&gt;0,ROUND(tb_rechnungen[[#This Row],[Steuer]]/tb_rechnungen[[#This Row],[Netto]],2),"")</f>
        <v/>
      </c>
    </row>
    <row r="608">
      <c r="A608" s="26" t="n"/>
      <c r="B608" s="27" t="n"/>
      <c r="C608" s="28" t="n"/>
      <c r="D608" s="28" t="n"/>
      <c r="E608" s="27" t="n"/>
      <c r="F608" s="29" t="n"/>
      <c r="G608" s="29" t="n"/>
      <c r="H608" s="30" t="n"/>
      <c r="I608" s="30" t="n"/>
      <c r="J608" s="30" t="n"/>
      <c r="K608" s="50" t="n"/>
      <c r="L608" s="50" t="n"/>
      <c r="M608" s="67" t="n"/>
      <c r="N608" s="30" t="n"/>
      <c r="O608" s="12">
        <f>IF(tb_rechnungen[[#This Row],[Re-Datum]]&gt;0,MONTH(tb_rechnungen[[#This Row],[Re-Datum]]),"")</f>
        <v/>
      </c>
      <c r="P608" s="13">
        <f>IF(tb_rechnungen[[#This Row],[Re-Datum]]&gt;0,YEAR(tb_rechnungen[[#This Row],[Re-Datum]]),"")</f>
        <v/>
      </c>
      <c r="Q608" s="19">
        <f>IF(tb_rechnungen[[#This Row],[Brutto]]&lt;&gt;0,tb_rechnungen[[#This Row],[Brutto]]-tb_rechnungen[[#This Row],[Netto]],"")</f>
        <v/>
      </c>
      <c r="R608" s="37">
        <f>IF(tb_rechnungen[[#This Row],[Netto]]&lt;&gt;0,ROUND(tb_rechnungen[[#This Row],[Steuer]]/tb_rechnungen[[#This Row],[Netto]],2),"")</f>
        <v/>
      </c>
    </row>
    <row r="609">
      <c r="A609" s="26" t="n"/>
      <c r="B609" s="27" t="n"/>
      <c r="C609" s="28" t="n"/>
      <c r="D609" s="28" t="n"/>
      <c r="E609" s="27" t="n"/>
      <c r="F609" s="29" t="n"/>
      <c r="G609" s="29" t="n"/>
      <c r="H609" s="30" t="n"/>
      <c r="I609" s="30" t="n"/>
      <c r="J609" s="30" t="n"/>
      <c r="K609" s="50" t="n"/>
      <c r="L609" s="50" t="n"/>
      <c r="M609" s="67" t="n"/>
      <c r="N609" s="30" t="n"/>
      <c r="O609" s="12">
        <f>IF(tb_rechnungen[[#This Row],[Re-Datum]]&gt;0,MONTH(tb_rechnungen[[#This Row],[Re-Datum]]),"")</f>
        <v/>
      </c>
      <c r="P609" s="13">
        <f>IF(tb_rechnungen[[#This Row],[Re-Datum]]&gt;0,YEAR(tb_rechnungen[[#This Row],[Re-Datum]]),"")</f>
        <v/>
      </c>
      <c r="Q609" s="19">
        <f>IF(tb_rechnungen[[#This Row],[Brutto]]&lt;&gt;0,tb_rechnungen[[#This Row],[Brutto]]-tb_rechnungen[[#This Row],[Netto]],"")</f>
        <v/>
      </c>
      <c r="R609" s="37">
        <f>IF(tb_rechnungen[[#This Row],[Netto]]&lt;&gt;0,ROUND(tb_rechnungen[[#This Row],[Steuer]]/tb_rechnungen[[#This Row],[Netto]],2),"")</f>
        <v/>
      </c>
    </row>
    <row r="610">
      <c r="A610" s="26" t="n"/>
      <c r="B610" s="27" t="n"/>
      <c r="C610" s="28" t="n"/>
      <c r="D610" s="28" t="n"/>
      <c r="E610" s="27" t="n"/>
      <c r="F610" s="29" t="n"/>
      <c r="G610" s="29" t="n"/>
      <c r="H610" s="30" t="n"/>
      <c r="I610" s="30" t="n"/>
      <c r="J610" s="30" t="n"/>
      <c r="K610" s="50" t="n"/>
      <c r="L610" s="50" t="n"/>
      <c r="M610" s="67" t="n"/>
      <c r="N610" s="30" t="n"/>
      <c r="O610" s="12">
        <f>IF(tb_rechnungen[[#This Row],[Re-Datum]]&gt;0,MONTH(tb_rechnungen[[#This Row],[Re-Datum]]),"")</f>
        <v/>
      </c>
      <c r="P610" s="13">
        <f>IF(tb_rechnungen[[#This Row],[Re-Datum]]&gt;0,YEAR(tb_rechnungen[[#This Row],[Re-Datum]]),"")</f>
        <v/>
      </c>
      <c r="Q610" s="19">
        <f>IF(tb_rechnungen[[#This Row],[Brutto]]&lt;&gt;0,tb_rechnungen[[#This Row],[Brutto]]-tb_rechnungen[[#This Row],[Netto]],"")</f>
        <v/>
      </c>
      <c r="R610" s="37">
        <f>IF(tb_rechnungen[[#This Row],[Netto]]&lt;&gt;0,ROUND(tb_rechnungen[[#This Row],[Steuer]]/tb_rechnungen[[#This Row],[Netto]],2),"")</f>
        <v/>
      </c>
    </row>
    <row r="611">
      <c r="A611" s="26" t="n"/>
      <c r="B611" s="27" t="n"/>
      <c r="C611" s="28" t="n"/>
      <c r="D611" s="28" t="n"/>
      <c r="E611" s="27" t="n"/>
      <c r="F611" s="29" t="n"/>
      <c r="G611" s="29" t="n"/>
      <c r="H611" s="30" t="n"/>
      <c r="I611" s="30" t="n"/>
      <c r="J611" s="30" t="n"/>
      <c r="K611" s="50" t="n"/>
      <c r="L611" s="50" t="n"/>
      <c r="M611" s="67" t="n"/>
      <c r="N611" s="30" t="n"/>
      <c r="O611" s="12">
        <f>IF(tb_rechnungen[[#This Row],[Re-Datum]]&gt;0,MONTH(tb_rechnungen[[#This Row],[Re-Datum]]),"")</f>
        <v/>
      </c>
      <c r="P611" s="13">
        <f>IF(tb_rechnungen[[#This Row],[Re-Datum]]&gt;0,YEAR(tb_rechnungen[[#This Row],[Re-Datum]]),"")</f>
        <v/>
      </c>
      <c r="Q611" s="19">
        <f>IF(tb_rechnungen[[#This Row],[Brutto]]&lt;&gt;0,tb_rechnungen[[#This Row],[Brutto]]-tb_rechnungen[[#This Row],[Netto]],"")</f>
        <v/>
      </c>
      <c r="R611" s="37">
        <f>IF(tb_rechnungen[[#This Row],[Netto]]&lt;&gt;0,ROUND(tb_rechnungen[[#This Row],[Steuer]]/tb_rechnungen[[#This Row],[Netto]],2),"")</f>
        <v/>
      </c>
    </row>
    <row r="612">
      <c r="A612" s="26" t="n"/>
      <c r="B612" s="27" t="n"/>
      <c r="C612" s="28" t="n"/>
      <c r="D612" s="28" t="n"/>
      <c r="E612" s="27" t="n"/>
      <c r="F612" s="29" t="n"/>
      <c r="G612" s="29" t="n"/>
      <c r="H612" s="30" t="n"/>
      <c r="I612" s="30" t="n"/>
      <c r="J612" s="30" t="n"/>
      <c r="K612" s="50" t="n"/>
      <c r="L612" s="50" t="n"/>
      <c r="M612" s="67" t="n"/>
      <c r="N612" s="30" t="n"/>
      <c r="O612" s="12">
        <f>IF(tb_rechnungen[[#This Row],[Re-Datum]]&gt;0,MONTH(tb_rechnungen[[#This Row],[Re-Datum]]),"")</f>
        <v/>
      </c>
      <c r="P612" s="13">
        <f>IF(tb_rechnungen[[#This Row],[Re-Datum]]&gt;0,YEAR(tb_rechnungen[[#This Row],[Re-Datum]]),"")</f>
        <v/>
      </c>
      <c r="Q612" s="19">
        <f>IF(tb_rechnungen[[#This Row],[Brutto]]&lt;&gt;0,tb_rechnungen[[#This Row],[Brutto]]-tb_rechnungen[[#This Row],[Netto]],"")</f>
        <v/>
      </c>
      <c r="R612" s="37">
        <f>IF(tb_rechnungen[[#This Row],[Netto]]&lt;&gt;0,ROUND(tb_rechnungen[[#This Row],[Steuer]]/tb_rechnungen[[#This Row],[Netto]],2),"")</f>
        <v/>
      </c>
    </row>
    <row r="613">
      <c r="A613" s="26" t="n"/>
      <c r="B613" s="27" t="n"/>
      <c r="C613" s="28" t="n"/>
      <c r="D613" s="28" t="n"/>
      <c r="E613" s="27" t="n"/>
      <c r="F613" s="29" t="n"/>
      <c r="G613" s="29" t="n"/>
      <c r="H613" s="30" t="n"/>
      <c r="I613" s="30" t="n"/>
      <c r="J613" s="30" t="n"/>
      <c r="K613" s="50" t="n"/>
      <c r="L613" s="50" t="n"/>
      <c r="M613" s="67" t="n"/>
      <c r="N613" s="30" t="n"/>
      <c r="O613" s="12">
        <f>IF(tb_rechnungen[[#This Row],[Re-Datum]]&gt;0,MONTH(tb_rechnungen[[#This Row],[Re-Datum]]),"")</f>
        <v/>
      </c>
      <c r="P613" s="13">
        <f>IF(tb_rechnungen[[#This Row],[Re-Datum]]&gt;0,YEAR(tb_rechnungen[[#This Row],[Re-Datum]]),"")</f>
        <v/>
      </c>
      <c r="Q613" s="19">
        <f>IF(tb_rechnungen[[#This Row],[Brutto]]&lt;&gt;0,tb_rechnungen[[#This Row],[Brutto]]-tb_rechnungen[[#This Row],[Netto]],"")</f>
        <v/>
      </c>
      <c r="R613" s="37">
        <f>IF(tb_rechnungen[[#This Row],[Netto]]&lt;&gt;0,ROUND(tb_rechnungen[[#This Row],[Steuer]]/tb_rechnungen[[#This Row],[Netto]],2),"")</f>
        <v/>
      </c>
    </row>
    <row r="614">
      <c r="A614" s="26" t="n"/>
      <c r="B614" s="27" t="n"/>
      <c r="C614" s="28" t="n"/>
      <c r="D614" s="28" t="n"/>
      <c r="E614" s="27" t="n"/>
      <c r="F614" s="29" t="n"/>
      <c r="G614" s="29" t="n"/>
      <c r="H614" s="30" t="n"/>
      <c r="I614" s="30" t="n"/>
      <c r="J614" s="30" t="n"/>
      <c r="K614" s="50" t="n"/>
      <c r="L614" s="50" t="n"/>
      <c r="M614" s="67" t="n"/>
      <c r="N614" s="30" t="n"/>
      <c r="O614" s="12">
        <f>IF(tb_rechnungen[[#This Row],[Re-Datum]]&gt;0,MONTH(tb_rechnungen[[#This Row],[Re-Datum]]),"")</f>
        <v/>
      </c>
      <c r="P614" s="13">
        <f>IF(tb_rechnungen[[#This Row],[Re-Datum]]&gt;0,YEAR(tb_rechnungen[[#This Row],[Re-Datum]]),"")</f>
        <v/>
      </c>
      <c r="Q614" s="19">
        <f>IF(tb_rechnungen[[#This Row],[Brutto]]&lt;&gt;0,tb_rechnungen[[#This Row],[Brutto]]-tb_rechnungen[[#This Row],[Netto]],"")</f>
        <v/>
      </c>
      <c r="R614" s="37">
        <f>IF(tb_rechnungen[[#This Row],[Netto]]&lt;&gt;0,ROUND(tb_rechnungen[[#This Row],[Steuer]]/tb_rechnungen[[#This Row],[Netto]],2),"")</f>
        <v/>
      </c>
    </row>
    <row r="615">
      <c r="A615" s="26" t="n"/>
      <c r="B615" s="27" t="n"/>
      <c r="C615" s="28" t="n"/>
      <c r="D615" s="28" t="n"/>
      <c r="E615" s="27" t="n"/>
      <c r="F615" s="29" t="n"/>
      <c r="G615" s="29" t="n"/>
      <c r="H615" s="30" t="n"/>
      <c r="I615" s="30" t="n"/>
      <c r="J615" s="30" t="n"/>
      <c r="K615" s="50" t="n"/>
      <c r="L615" s="50" t="n"/>
      <c r="M615" s="67" t="n"/>
      <c r="N615" s="30" t="n"/>
      <c r="O615" s="12">
        <f>IF(tb_rechnungen[[#This Row],[Re-Datum]]&gt;0,MONTH(tb_rechnungen[[#This Row],[Re-Datum]]),"")</f>
        <v/>
      </c>
      <c r="P615" s="13">
        <f>IF(tb_rechnungen[[#This Row],[Re-Datum]]&gt;0,YEAR(tb_rechnungen[[#This Row],[Re-Datum]]),"")</f>
        <v/>
      </c>
      <c r="Q615" s="19">
        <f>IF(tb_rechnungen[[#This Row],[Brutto]]&lt;&gt;0,tb_rechnungen[[#This Row],[Brutto]]-tb_rechnungen[[#This Row],[Netto]],"")</f>
        <v/>
      </c>
      <c r="R615" s="37">
        <f>IF(tb_rechnungen[[#This Row],[Netto]]&lt;&gt;0,ROUND(tb_rechnungen[[#This Row],[Steuer]]/tb_rechnungen[[#This Row],[Netto]],2),"")</f>
        <v/>
      </c>
    </row>
    <row r="616">
      <c r="A616" s="26" t="n"/>
      <c r="B616" s="27" t="n"/>
      <c r="C616" s="28" t="n"/>
      <c r="D616" s="28" t="n"/>
      <c r="E616" s="27" t="n"/>
      <c r="F616" s="29" t="n"/>
      <c r="G616" s="29" t="n"/>
      <c r="H616" s="30" t="n"/>
      <c r="I616" s="30" t="n"/>
      <c r="J616" s="30" t="n"/>
      <c r="K616" s="50" t="n"/>
      <c r="L616" s="50" t="n"/>
      <c r="M616" s="67" t="n"/>
      <c r="N616" s="30" t="n"/>
      <c r="O616" s="12">
        <f>IF(tb_rechnungen[[#This Row],[Re-Datum]]&gt;0,MONTH(tb_rechnungen[[#This Row],[Re-Datum]]),"")</f>
        <v/>
      </c>
      <c r="P616" s="13">
        <f>IF(tb_rechnungen[[#This Row],[Re-Datum]]&gt;0,YEAR(tb_rechnungen[[#This Row],[Re-Datum]]),"")</f>
        <v/>
      </c>
      <c r="Q616" s="19">
        <f>IF(tb_rechnungen[[#This Row],[Brutto]]&lt;&gt;0,tb_rechnungen[[#This Row],[Brutto]]-tb_rechnungen[[#This Row],[Netto]],"")</f>
        <v/>
      </c>
      <c r="R616" s="37">
        <f>IF(tb_rechnungen[[#This Row],[Netto]]&lt;&gt;0,ROUND(tb_rechnungen[[#This Row],[Steuer]]/tb_rechnungen[[#This Row],[Netto]],2),"")</f>
        <v/>
      </c>
    </row>
    <row r="617">
      <c r="A617" s="26" t="n"/>
      <c r="B617" s="27" t="n"/>
      <c r="C617" s="28" t="n"/>
      <c r="D617" s="28" t="n"/>
      <c r="E617" s="27" t="n"/>
      <c r="F617" s="29" t="n"/>
      <c r="G617" s="29" t="n"/>
      <c r="H617" s="30" t="n"/>
      <c r="I617" s="30" t="n"/>
      <c r="J617" s="30" t="n"/>
      <c r="K617" s="50" t="n"/>
      <c r="L617" s="50" t="n"/>
      <c r="M617" s="67" t="n"/>
      <c r="N617" s="30" t="n"/>
      <c r="O617" s="12">
        <f>IF(tb_rechnungen[[#This Row],[Re-Datum]]&gt;0,MONTH(tb_rechnungen[[#This Row],[Re-Datum]]),"")</f>
        <v/>
      </c>
      <c r="P617" s="13">
        <f>IF(tb_rechnungen[[#This Row],[Re-Datum]]&gt;0,YEAR(tb_rechnungen[[#This Row],[Re-Datum]]),"")</f>
        <v/>
      </c>
      <c r="Q617" s="19">
        <f>IF(tb_rechnungen[[#This Row],[Brutto]]&lt;&gt;0,tb_rechnungen[[#This Row],[Brutto]]-tb_rechnungen[[#This Row],[Netto]],"")</f>
        <v/>
      </c>
      <c r="R617" s="37">
        <f>IF(tb_rechnungen[[#This Row],[Netto]]&lt;&gt;0,ROUND(tb_rechnungen[[#This Row],[Steuer]]/tb_rechnungen[[#This Row],[Netto]],2),"")</f>
        <v/>
      </c>
    </row>
    <row r="618">
      <c r="A618" s="26" t="n"/>
      <c r="B618" s="27" t="n"/>
      <c r="C618" s="28" t="n"/>
      <c r="D618" s="28" t="n"/>
      <c r="E618" s="27" t="n"/>
      <c r="F618" s="29" t="n"/>
      <c r="G618" s="29" t="n"/>
      <c r="H618" s="30" t="n"/>
      <c r="I618" s="30" t="n"/>
      <c r="J618" s="30" t="n"/>
      <c r="K618" s="50" t="n"/>
      <c r="L618" s="50" t="n"/>
      <c r="M618" s="67" t="n"/>
      <c r="N618" s="30" t="n"/>
      <c r="O618" s="12">
        <f>IF(tb_rechnungen[[#This Row],[Re-Datum]]&gt;0,MONTH(tb_rechnungen[[#This Row],[Re-Datum]]),"")</f>
        <v/>
      </c>
      <c r="P618" s="13">
        <f>IF(tb_rechnungen[[#This Row],[Re-Datum]]&gt;0,YEAR(tb_rechnungen[[#This Row],[Re-Datum]]),"")</f>
        <v/>
      </c>
      <c r="Q618" s="19">
        <f>IF(tb_rechnungen[[#This Row],[Brutto]]&lt;&gt;0,tb_rechnungen[[#This Row],[Brutto]]-tb_rechnungen[[#This Row],[Netto]],"")</f>
        <v/>
      </c>
      <c r="R618" s="37">
        <f>IF(tb_rechnungen[[#This Row],[Netto]]&lt;&gt;0,ROUND(tb_rechnungen[[#This Row],[Steuer]]/tb_rechnungen[[#This Row],[Netto]],2),"")</f>
        <v/>
      </c>
    </row>
    <row r="619">
      <c r="A619" s="26" t="n"/>
      <c r="B619" s="27" t="n"/>
      <c r="C619" s="28" t="n"/>
      <c r="D619" s="28" t="n"/>
      <c r="E619" s="27" t="n"/>
      <c r="F619" s="29" t="n"/>
      <c r="G619" s="29" t="n"/>
      <c r="H619" s="30" t="n"/>
      <c r="I619" s="30" t="n"/>
      <c r="J619" s="30" t="n"/>
      <c r="K619" s="50" t="n"/>
      <c r="L619" s="50" t="n"/>
      <c r="M619" s="67" t="n"/>
      <c r="N619" s="30" t="n"/>
      <c r="O619" s="12">
        <f>IF(tb_rechnungen[[#This Row],[Re-Datum]]&gt;0,MONTH(tb_rechnungen[[#This Row],[Re-Datum]]),"")</f>
        <v/>
      </c>
      <c r="P619" s="13">
        <f>IF(tb_rechnungen[[#This Row],[Re-Datum]]&gt;0,YEAR(tb_rechnungen[[#This Row],[Re-Datum]]),"")</f>
        <v/>
      </c>
      <c r="Q619" s="19">
        <f>IF(tb_rechnungen[[#This Row],[Brutto]]&lt;&gt;0,tb_rechnungen[[#This Row],[Brutto]]-tb_rechnungen[[#This Row],[Netto]],"")</f>
        <v/>
      </c>
      <c r="R619" s="37">
        <f>IF(tb_rechnungen[[#This Row],[Netto]]&lt;&gt;0,ROUND(tb_rechnungen[[#This Row],[Steuer]]/tb_rechnungen[[#This Row],[Netto]],2),"")</f>
        <v/>
      </c>
    </row>
    <row r="620">
      <c r="A620" s="26" t="n"/>
      <c r="B620" s="27" t="n"/>
      <c r="C620" s="28" t="n"/>
      <c r="D620" s="28" t="n"/>
      <c r="E620" s="27" t="n"/>
      <c r="F620" s="29" t="n"/>
      <c r="G620" s="29" t="n"/>
      <c r="H620" s="30" t="n"/>
      <c r="I620" s="30" t="n"/>
      <c r="J620" s="30" t="n"/>
      <c r="K620" s="50" t="n"/>
      <c r="L620" s="50" t="n"/>
      <c r="M620" s="67" t="n"/>
      <c r="N620" s="30" t="n"/>
      <c r="O620" s="12">
        <f>IF(tb_rechnungen[[#This Row],[Re-Datum]]&gt;0,MONTH(tb_rechnungen[[#This Row],[Re-Datum]]),"")</f>
        <v/>
      </c>
      <c r="P620" s="13">
        <f>IF(tb_rechnungen[[#This Row],[Re-Datum]]&gt;0,YEAR(tb_rechnungen[[#This Row],[Re-Datum]]),"")</f>
        <v/>
      </c>
      <c r="Q620" s="19">
        <f>IF(tb_rechnungen[[#This Row],[Brutto]]&lt;&gt;0,tb_rechnungen[[#This Row],[Brutto]]-tb_rechnungen[[#This Row],[Netto]],"")</f>
        <v/>
      </c>
      <c r="R620" s="37">
        <f>IF(tb_rechnungen[[#This Row],[Netto]]&lt;&gt;0,ROUND(tb_rechnungen[[#This Row],[Steuer]]/tb_rechnungen[[#This Row],[Netto]],2),"")</f>
        <v/>
      </c>
    </row>
    <row r="621">
      <c r="A621" s="26" t="n"/>
      <c r="B621" s="27" t="n"/>
      <c r="C621" s="28" t="n"/>
      <c r="D621" s="28" t="n"/>
      <c r="E621" s="27" t="n"/>
      <c r="F621" s="29" t="n"/>
      <c r="G621" s="29" t="n"/>
      <c r="H621" s="30" t="n"/>
      <c r="I621" s="30" t="n"/>
      <c r="J621" s="30" t="n"/>
      <c r="K621" s="50" t="n"/>
      <c r="L621" s="50" t="n"/>
      <c r="M621" s="67" t="n"/>
      <c r="N621" s="30" t="n"/>
      <c r="O621" s="12">
        <f>IF(tb_rechnungen[[#This Row],[Re-Datum]]&gt;0,MONTH(tb_rechnungen[[#This Row],[Re-Datum]]),"")</f>
        <v/>
      </c>
      <c r="P621" s="13">
        <f>IF(tb_rechnungen[[#This Row],[Re-Datum]]&gt;0,YEAR(tb_rechnungen[[#This Row],[Re-Datum]]),"")</f>
        <v/>
      </c>
      <c r="Q621" s="19">
        <f>IF(tb_rechnungen[[#This Row],[Brutto]]&lt;&gt;0,tb_rechnungen[[#This Row],[Brutto]]-tb_rechnungen[[#This Row],[Netto]],"")</f>
        <v/>
      </c>
      <c r="R621" s="37">
        <f>IF(tb_rechnungen[[#This Row],[Netto]]&lt;&gt;0,ROUND(tb_rechnungen[[#This Row],[Steuer]]/tb_rechnungen[[#This Row],[Netto]],2),"")</f>
        <v/>
      </c>
    </row>
    <row r="622">
      <c r="A622" s="26" t="n"/>
      <c r="B622" s="27" t="n"/>
      <c r="C622" s="28" t="n"/>
      <c r="D622" s="28" t="n"/>
      <c r="E622" s="27" t="n"/>
      <c r="F622" s="29" t="n"/>
      <c r="G622" s="29" t="n"/>
      <c r="H622" s="30" t="n"/>
      <c r="I622" s="30" t="n"/>
      <c r="J622" s="30" t="n"/>
      <c r="K622" s="50" t="n"/>
      <c r="L622" s="50" t="n"/>
      <c r="M622" s="67" t="n"/>
      <c r="N622" s="30" t="n"/>
      <c r="O622" s="12">
        <f>IF(tb_rechnungen[[#This Row],[Re-Datum]]&gt;0,MONTH(tb_rechnungen[[#This Row],[Re-Datum]]),"")</f>
        <v/>
      </c>
      <c r="P622" s="13">
        <f>IF(tb_rechnungen[[#This Row],[Re-Datum]]&gt;0,YEAR(tb_rechnungen[[#This Row],[Re-Datum]]),"")</f>
        <v/>
      </c>
      <c r="Q622" s="19">
        <f>IF(tb_rechnungen[[#This Row],[Brutto]]&lt;&gt;0,tb_rechnungen[[#This Row],[Brutto]]-tb_rechnungen[[#This Row],[Netto]],"")</f>
        <v/>
      </c>
      <c r="R622" s="37">
        <f>IF(tb_rechnungen[[#This Row],[Netto]]&lt;&gt;0,ROUND(tb_rechnungen[[#This Row],[Steuer]]/tb_rechnungen[[#This Row],[Netto]],2),"")</f>
        <v/>
      </c>
    </row>
    <row r="623">
      <c r="A623" s="26" t="n"/>
      <c r="B623" s="27" t="n"/>
      <c r="C623" s="28" t="n"/>
      <c r="D623" s="28" t="n"/>
      <c r="E623" s="27" t="n"/>
      <c r="F623" s="29" t="n"/>
      <c r="G623" s="29" t="n"/>
      <c r="H623" s="30" t="n"/>
      <c r="I623" s="30" t="n"/>
      <c r="J623" s="30" t="n"/>
      <c r="K623" s="50" t="n"/>
      <c r="L623" s="50" t="n"/>
      <c r="M623" s="67" t="n"/>
      <c r="N623" s="30" t="n"/>
      <c r="O623" s="12">
        <f>IF(tb_rechnungen[[#This Row],[Re-Datum]]&gt;0,MONTH(tb_rechnungen[[#This Row],[Re-Datum]]),"")</f>
        <v/>
      </c>
      <c r="P623" s="13">
        <f>IF(tb_rechnungen[[#This Row],[Re-Datum]]&gt;0,YEAR(tb_rechnungen[[#This Row],[Re-Datum]]),"")</f>
        <v/>
      </c>
      <c r="Q623" s="19">
        <f>IF(tb_rechnungen[[#This Row],[Brutto]]&lt;&gt;0,tb_rechnungen[[#This Row],[Brutto]]-tb_rechnungen[[#This Row],[Netto]],"")</f>
        <v/>
      </c>
      <c r="R623" s="37">
        <f>IF(tb_rechnungen[[#This Row],[Netto]]&lt;&gt;0,ROUND(tb_rechnungen[[#This Row],[Steuer]]/tb_rechnungen[[#This Row],[Netto]],2),"")</f>
        <v/>
      </c>
    </row>
    <row r="624">
      <c r="A624" s="26" t="n"/>
      <c r="B624" s="27" t="n"/>
      <c r="C624" s="28" t="n"/>
      <c r="D624" s="28" t="n"/>
      <c r="E624" s="27" t="n"/>
      <c r="F624" s="29" t="n"/>
      <c r="G624" s="29" t="n"/>
      <c r="H624" s="30" t="n"/>
      <c r="I624" s="30" t="n"/>
      <c r="J624" s="30" t="n"/>
      <c r="K624" s="50" t="n"/>
      <c r="L624" s="50" t="n"/>
      <c r="M624" s="67" t="n"/>
      <c r="N624" s="30" t="n"/>
      <c r="O624" s="12">
        <f>IF(tb_rechnungen[[#This Row],[Re-Datum]]&gt;0,MONTH(tb_rechnungen[[#This Row],[Re-Datum]]),"")</f>
        <v/>
      </c>
      <c r="P624" s="13">
        <f>IF(tb_rechnungen[[#This Row],[Re-Datum]]&gt;0,YEAR(tb_rechnungen[[#This Row],[Re-Datum]]),"")</f>
        <v/>
      </c>
      <c r="Q624" s="19">
        <f>IF(tb_rechnungen[[#This Row],[Brutto]]&lt;&gt;0,tb_rechnungen[[#This Row],[Brutto]]-tb_rechnungen[[#This Row],[Netto]],"")</f>
        <v/>
      </c>
      <c r="R624" s="37">
        <f>IF(tb_rechnungen[[#This Row],[Netto]]&lt;&gt;0,ROUND(tb_rechnungen[[#This Row],[Steuer]]/tb_rechnungen[[#This Row],[Netto]],2),"")</f>
        <v/>
      </c>
    </row>
    <row r="625">
      <c r="A625" s="26" t="n"/>
      <c r="B625" s="27" t="n"/>
      <c r="C625" s="28" t="n"/>
      <c r="D625" s="28" t="n"/>
      <c r="E625" s="27" t="n"/>
      <c r="F625" s="29" t="n"/>
      <c r="G625" s="29" t="n"/>
      <c r="H625" s="30" t="n"/>
      <c r="I625" s="30" t="n"/>
      <c r="J625" s="30" t="n"/>
      <c r="K625" s="50" t="n"/>
      <c r="L625" s="50" t="n"/>
      <c r="M625" s="67" t="n"/>
      <c r="N625" s="30" t="n"/>
      <c r="O625" s="12">
        <f>IF(tb_rechnungen[[#This Row],[Re-Datum]]&gt;0,MONTH(tb_rechnungen[[#This Row],[Re-Datum]]),"")</f>
        <v/>
      </c>
      <c r="P625" s="13">
        <f>IF(tb_rechnungen[[#This Row],[Re-Datum]]&gt;0,YEAR(tb_rechnungen[[#This Row],[Re-Datum]]),"")</f>
        <v/>
      </c>
      <c r="Q625" s="19">
        <f>IF(tb_rechnungen[[#This Row],[Brutto]]&lt;&gt;0,tb_rechnungen[[#This Row],[Brutto]]-tb_rechnungen[[#This Row],[Netto]],"")</f>
        <v/>
      </c>
      <c r="R625" s="37">
        <f>IF(tb_rechnungen[[#This Row],[Netto]]&lt;&gt;0,ROUND(tb_rechnungen[[#This Row],[Steuer]]/tb_rechnungen[[#This Row],[Netto]],2),"")</f>
        <v/>
      </c>
    </row>
    <row r="626">
      <c r="A626" s="26" t="n"/>
      <c r="B626" s="27" t="n"/>
      <c r="C626" s="28" t="n"/>
      <c r="D626" s="28" t="n"/>
      <c r="E626" s="27" t="n"/>
      <c r="F626" s="29" t="n"/>
      <c r="G626" s="29" t="n"/>
      <c r="H626" s="30" t="n"/>
      <c r="I626" s="30" t="n"/>
      <c r="J626" s="30" t="n"/>
      <c r="K626" s="50" t="n"/>
      <c r="L626" s="50" t="n"/>
      <c r="M626" s="67" t="n"/>
      <c r="N626" s="30" t="n"/>
      <c r="O626" s="12">
        <f>IF(tb_rechnungen[[#This Row],[Re-Datum]]&gt;0,MONTH(tb_rechnungen[[#This Row],[Re-Datum]]),"")</f>
        <v/>
      </c>
      <c r="P626" s="13">
        <f>IF(tb_rechnungen[[#This Row],[Re-Datum]]&gt;0,YEAR(tb_rechnungen[[#This Row],[Re-Datum]]),"")</f>
        <v/>
      </c>
      <c r="Q626" s="19">
        <f>IF(tb_rechnungen[[#This Row],[Brutto]]&lt;&gt;0,tb_rechnungen[[#This Row],[Brutto]]-tb_rechnungen[[#This Row],[Netto]],"")</f>
        <v/>
      </c>
      <c r="R626" s="37">
        <f>IF(tb_rechnungen[[#This Row],[Netto]]&lt;&gt;0,ROUND(tb_rechnungen[[#This Row],[Steuer]]/tb_rechnungen[[#This Row],[Netto]],2),"")</f>
        <v/>
      </c>
    </row>
    <row r="627">
      <c r="A627" s="26" t="n"/>
      <c r="B627" s="27" t="n"/>
      <c r="C627" s="28" t="n"/>
      <c r="D627" s="28" t="n"/>
      <c r="E627" s="27" t="n"/>
      <c r="F627" s="29" t="n"/>
      <c r="G627" s="29" t="n"/>
      <c r="H627" s="30" t="n"/>
      <c r="I627" s="30" t="n"/>
      <c r="J627" s="30" t="n"/>
      <c r="K627" s="50" t="n"/>
      <c r="L627" s="50" t="n"/>
      <c r="M627" s="67" t="n"/>
      <c r="N627" s="30" t="n"/>
      <c r="O627" s="12">
        <f>IF(tb_rechnungen[[#This Row],[Re-Datum]]&gt;0,MONTH(tb_rechnungen[[#This Row],[Re-Datum]]),"")</f>
        <v/>
      </c>
      <c r="P627" s="13">
        <f>IF(tb_rechnungen[[#This Row],[Re-Datum]]&gt;0,YEAR(tb_rechnungen[[#This Row],[Re-Datum]]),"")</f>
        <v/>
      </c>
      <c r="Q627" s="19">
        <f>IF(tb_rechnungen[[#This Row],[Brutto]]&lt;&gt;0,tb_rechnungen[[#This Row],[Brutto]]-tb_rechnungen[[#This Row],[Netto]],"")</f>
        <v/>
      </c>
      <c r="R627" s="37">
        <f>IF(tb_rechnungen[[#This Row],[Netto]]&lt;&gt;0,ROUND(tb_rechnungen[[#This Row],[Steuer]]/tb_rechnungen[[#This Row],[Netto]],2),"")</f>
        <v/>
      </c>
    </row>
    <row r="628">
      <c r="A628" s="26" t="n"/>
      <c r="B628" s="27" t="n"/>
      <c r="C628" s="28" t="n"/>
      <c r="D628" s="28" t="n"/>
      <c r="E628" s="27" t="n"/>
      <c r="F628" s="29" t="n"/>
      <c r="G628" s="29" t="n"/>
      <c r="H628" s="30" t="n"/>
      <c r="I628" s="30" t="n"/>
      <c r="J628" s="30" t="n"/>
      <c r="K628" s="50" t="n"/>
      <c r="L628" s="50" t="n"/>
      <c r="M628" s="67" t="n"/>
      <c r="N628" s="30" t="n"/>
      <c r="O628" s="12">
        <f>IF(tb_rechnungen[[#This Row],[Re-Datum]]&gt;0,MONTH(tb_rechnungen[[#This Row],[Re-Datum]]),"")</f>
        <v/>
      </c>
      <c r="P628" s="13">
        <f>IF(tb_rechnungen[[#This Row],[Re-Datum]]&gt;0,YEAR(tb_rechnungen[[#This Row],[Re-Datum]]),"")</f>
        <v/>
      </c>
      <c r="Q628" s="19">
        <f>IF(tb_rechnungen[[#This Row],[Brutto]]&lt;&gt;0,tb_rechnungen[[#This Row],[Brutto]]-tb_rechnungen[[#This Row],[Netto]],"")</f>
        <v/>
      </c>
      <c r="R628" s="37">
        <f>IF(tb_rechnungen[[#This Row],[Netto]]&lt;&gt;0,ROUND(tb_rechnungen[[#This Row],[Steuer]]/tb_rechnungen[[#This Row],[Netto]],2),"")</f>
        <v/>
      </c>
    </row>
    <row r="629">
      <c r="A629" s="26" t="n"/>
      <c r="B629" s="27" t="n"/>
      <c r="C629" s="28" t="n"/>
      <c r="D629" s="28" t="n"/>
      <c r="E629" s="27" t="n"/>
      <c r="F629" s="29" t="n"/>
      <c r="G629" s="29" t="n"/>
      <c r="H629" s="30" t="n"/>
      <c r="I629" s="30" t="n"/>
      <c r="J629" s="30" t="n"/>
      <c r="K629" s="50" t="n"/>
      <c r="L629" s="50" t="n"/>
      <c r="M629" s="67" t="n"/>
      <c r="N629" s="30" t="n"/>
      <c r="O629" s="12">
        <f>IF(tb_rechnungen[[#This Row],[Re-Datum]]&gt;0,MONTH(tb_rechnungen[[#This Row],[Re-Datum]]),"")</f>
        <v/>
      </c>
      <c r="P629" s="13">
        <f>IF(tb_rechnungen[[#This Row],[Re-Datum]]&gt;0,YEAR(tb_rechnungen[[#This Row],[Re-Datum]]),"")</f>
        <v/>
      </c>
      <c r="Q629" s="19">
        <f>IF(tb_rechnungen[[#This Row],[Brutto]]&lt;&gt;0,tb_rechnungen[[#This Row],[Brutto]]-tb_rechnungen[[#This Row],[Netto]],"")</f>
        <v/>
      </c>
      <c r="R629" s="37">
        <f>IF(tb_rechnungen[[#This Row],[Netto]]&lt;&gt;0,ROUND(tb_rechnungen[[#This Row],[Steuer]]/tb_rechnungen[[#This Row],[Netto]],2),"")</f>
        <v/>
      </c>
    </row>
    <row r="630">
      <c r="A630" s="26" t="n"/>
      <c r="B630" s="27" t="n"/>
      <c r="C630" s="28" t="n"/>
      <c r="D630" s="28" t="n"/>
      <c r="E630" s="27" t="n"/>
      <c r="F630" s="29" t="n"/>
      <c r="G630" s="29" t="n"/>
      <c r="H630" s="30" t="n"/>
      <c r="I630" s="30" t="n"/>
      <c r="J630" s="30" t="n"/>
      <c r="K630" s="50" t="n"/>
      <c r="L630" s="50" t="n"/>
      <c r="M630" s="67" t="n"/>
      <c r="N630" s="30" t="n"/>
      <c r="O630" s="12">
        <f>IF(tb_rechnungen[[#This Row],[Re-Datum]]&gt;0,MONTH(tb_rechnungen[[#This Row],[Re-Datum]]),"")</f>
        <v/>
      </c>
      <c r="P630" s="13">
        <f>IF(tb_rechnungen[[#This Row],[Re-Datum]]&gt;0,YEAR(tb_rechnungen[[#This Row],[Re-Datum]]),"")</f>
        <v/>
      </c>
      <c r="Q630" s="19">
        <f>IF(tb_rechnungen[[#This Row],[Brutto]]&lt;&gt;0,tb_rechnungen[[#This Row],[Brutto]]-tb_rechnungen[[#This Row],[Netto]],"")</f>
        <v/>
      </c>
      <c r="R630" s="37">
        <f>IF(tb_rechnungen[[#This Row],[Netto]]&lt;&gt;0,ROUND(tb_rechnungen[[#This Row],[Steuer]]/tb_rechnungen[[#This Row],[Netto]],2),"")</f>
        <v/>
      </c>
    </row>
    <row r="631">
      <c r="A631" s="26" t="n"/>
      <c r="B631" s="27" t="n"/>
      <c r="C631" s="28" t="n"/>
      <c r="D631" s="28" t="n"/>
      <c r="E631" s="27" t="n"/>
      <c r="F631" s="29" t="n"/>
      <c r="G631" s="29" t="n"/>
      <c r="H631" s="30" t="n"/>
      <c r="I631" s="30" t="n"/>
      <c r="J631" s="30" t="n"/>
      <c r="K631" s="50" t="n"/>
      <c r="L631" s="50" t="n"/>
      <c r="M631" s="67" t="n"/>
      <c r="N631" s="30" t="n"/>
      <c r="O631" s="12">
        <f>IF(tb_rechnungen[[#This Row],[Re-Datum]]&gt;0,MONTH(tb_rechnungen[[#This Row],[Re-Datum]]),"")</f>
        <v/>
      </c>
      <c r="P631" s="13">
        <f>IF(tb_rechnungen[[#This Row],[Re-Datum]]&gt;0,YEAR(tb_rechnungen[[#This Row],[Re-Datum]]),"")</f>
        <v/>
      </c>
      <c r="Q631" s="19">
        <f>IF(tb_rechnungen[[#This Row],[Brutto]]&lt;&gt;0,tb_rechnungen[[#This Row],[Brutto]]-tb_rechnungen[[#This Row],[Netto]],"")</f>
        <v/>
      </c>
      <c r="R631" s="37">
        <f>IF(tb_rechnungen[[#This Row],[Netto]]&lt;&gt;0,ROUND(tb_rechnungen[[#This Row],[Steuer]]/tb_rechnungen[[#This Row],[Netto]],2),"")</f>
        <v/>
      </c>
    </row>
    <row r="632">
      <c r="A632" s="26" t="n"/>
      <c r="B632" s="27" t="n"/>
      <c r="C632" s="28" t="n"/>
      <c r="D632" s="28" t="n"/>
      <c r="E632" s="27" t="n"/>
      <c r="F632" s="29" t="n"/>
      <c r="G632" s="29" t="n"/>
      <c r="H632" s="30" t="n"/>
      <c r="I632" s="30" t="n"/>
      <c r="J632" s="30" t="n"/>
      <c r="K632" s="50" t="n"/>
      <c r="L632" s="50" t="n"/>
      <c r="M632" s="67" t="n"/>
      <c r="N632" s="30" t="n"/>
      <c r="O632" s="12">
        <f>IF(tb_rechnungen[[#This Row],[Re-Datum]]&gt;0,MONTH(tb_rechnungen[[#This Row],[Re-Datum]]),"")</f>
        <v/>
      </c>
      <c r="P632" s="13">
        <f>IF(tb_rechnungen[[#This Row],[Re-Datum]]&gt;0,YEAR(tb_rechnungen[[#This Row],[Re-Datum]]),"")</f>
        <v/>
      </c>
      <c r="Q632" s="19">
        <f>IF(tb_rechnungen[[#This Row],[Brutto]]&lt;&gt;0,tb_rechnungen[[#This Row],[Brutto]]-tb_rechnungen[[#This Row],[Netto]],"")</f>
        <v/>
      </c>
      <c r="R632" s="37">
        <f>IF(tb_rechnungen[[#This Row],[Netto]]&lt;&gt;0,ROUND(tb_rechnungen[[#This Row],[Steuer]]/tb_rechnungen[[#This Row],[Netto]],2),"")</f>
        <v/>
      </c>
    </row>
    <row r="633">
      <c r="A633" s="26" t="n"/>
      <c r="B633" s="27" t="n"/>
      <c r="C633" s="28" t="n"/>
      <c r="D633" s="28" t="n"/>
      <c r="E633" s="27" t="n"/>
      <c r="F633" s="29" t="n"/>
      <c r="G633" s="29" t="n"/>
      <c r="H633" s="30" t="n"/>
      <c r="I633" s="30" t="n"/>
      <c r="J633" s="30" t="n"/>
      <c r="K633" s="50" t="n"/>
      <c r="L633" s="50" t="n"/>
      <c r="M633" s="67" t="n"/>
      <c r="N633" s="30" t="n"/>
      <c r="O633" s="12">
        <f>IF(tb_rechnungen[[#This Row],[Re-Datum]]&gt;0,MONTH(tb_rechnungen[[#This Row],[Re-Datum]]),"")</f>
        <v/>
      </c>
      <c r="P633" s="13">
        <f>IF(tb_rechnungen[[#This Row],[Re-Datum]]&gt;0,YEAR(tb_rechnungen[[#This Row],[Re-Datum]]),"")</f>
        <v/>
      </c>
      <c r="Q633" s="19">
        <f>IF(tb_rechnungen[[#This Row],[Brutto]]&lt;&gt;0,tb_rechnungen[[#This Row],[Brutto]]-tb_rechnungen[[#This Row],[Netto]],"")</f>
        <v/>
      </c>
      <c r="R633" s="37">
        <f>IF(tb_rechnungen[[#This Row],[Netto]]&lt;&gt;0,ROUND(tb_rechnungen[[#This Row],[Steuer]]/tb_rechnungen[[#This Row],[Netto]],2),"")</f>
        <v/>
      </c>
    </row>
    <row r="634">
      <c r="A634" s="26" t="n"/>
      <c r="B634" s="27" t="n"/>
      <c r="C634" s="28" t="n"/>
      <c r="D634" s="28" t="n"/>
      <c r="E634" s="27" t="n"/>
      <c r="F634" s="29" t="n"/>
      <c r="G634" s="29" t="n"/>
      <c r="H634" s="30" t="n"/>
      <c r="I634" s="30" t="n"/>
      <c r="J634" s="30" t="n"/>
      <c r="K634" s="50" t="n"/>
      <c r="L634" s="50" t="n"/>
      <c r="M634" s="67" t="n"/>
      <c r="N634" s="30" t="n"/>
      <c r="O634" s="12">
        <f>IF(tb_rechnungen[[#This Row],[Re-Datum]]&gt;0,MONTH(tb_rechnungen[[#This Row],[Re-Datum]]),"")</f>
        <v/>
      </c>
      <c r="P634" s="13">
        <f>IF(tb_rechnungen[[#This Row],[Re-Datum]]&gt;0,YEAR(tb_rechnungen[[#This Row],[Re-Datum]]),"")</f>
        <v/>
      </c>
      <c r="Q634" s="19">
        <f>IF(tb_rechnungen[[#This Row],[Brutto]]&lt;&gt;0,tb_rechnungen[[#This Row],[Brutto]]-tb_rechnungen[[#This Row],[Netto]],"")</f>
        <v/>
      </c>
      <c r="R634" s="37">
        <f>IF(tb_rechnungen[[#This Row],[Netto]]&lt;&gt;0,ROUND(tb_rechnungen[[#This Row],[Steuer]]/tb_rechnungen[[#This Row],[Netto]],2),"")</f>
        <v/>
      </c>
    </row>
    <row r="635">
      <c r="A635" s="26" t="n"/>
      <c r="B635" s="27" t="n"/>
      <c r="C635" s="28" t="n"/>
      <c r="D635" s="28" t="n"/>
      <c r="E635" s="27" t="n"/>
      <c r="F635" s="29" t="n"/>
      <c r="G635" s="29" t="n"/>
      <c r="H635" s="30" t="n"/>
      <c r="I635" s="30" t="n"/>
      <c r="J635" s="30" t="n"/>
      <c r="K635" s="50" t="n"/>
      <c r="L635" s="50" t="n"/>
      <c r="M635" s="67" t="n"/>
      <c r="N635" s="30" t="n"/>
      <c r="O635" s="12">
        <f>IF(tb_rechnungen[[#This Row],[Re-Datum]]&gt;0,MONTH(tb_rechnungen[[#This Row],[Re-Datum]]),"")</f>
        <v/>
      </c>
      <c r="P635" s="13">
        <f>IF(tb_rechnungen[[#This Row],[Re-Datum]]&gt;0,YEAR(tb_rechnungen[[#This Row],[Re-Datum]]),"")</f>
        <v/>
      </c>
      <c r="Q635" s="19">
        <f>IF(tb_rechnungen[[#This Row],[Brutto]]&lt;&gt;0,tb_rechnungen[[#This Row],[Brutto]]-tb_rechnungen[[#This Row],[Netto]],"")</f>
        <v/>
      </c>
      <c r="R635" s="37">
        <f>IF(tb_rechnungen[[#This Row],[Netto]]&lt;&gt;0,ROUND(tb_rechnungen[[#This Row],[Steuer]]/tb_rechnungen[[#This Row],[Netto]],2),"")</f>
        <v/>
      </c>
    </row>
    <row r="636">
      <c r="A636" s="26" t="n"/>
      <c r="B636" s="27" t="n"/>
      <c r="C636" s="28" t="n"/>
      <c r="D636" s="28" t="n"/>
      <c r="E636" s="27" t="n"/>
      <c r="F636" s="29" t="n"/>
      <c r="G636" s="29" t="n"/>
      <c r="H636" s="30" t="n"/>
      <c r="I636" s="30" t="n"/>
      <c r="J636" s="30" t="n"/>
      <c r="K636" s="50" t="n"/>
      <c r="L636" s="50" t="n"/>
      <c r="M636" s="67" t="n"/>
      <c r="N636" s="30" t="n"/>
      <c r="O636" s="12">
        <f>IF(tb_rechnungen[[#This Row],[Re-Datum]]&gt;0,MONTH(tb_rechnungen[[#This Row],[Re-Datum]]),"")</f>
        <v/>
      </c>
      <c r="P636" s="13">
        <f>IF(tb_rechnungen[[#This Row],[Re-Datum]]&gt;0,YEAR(tb_rechnungen[[#This Row],[Re-Datum]]),"")</f>
        <v/>
      </c>
      <c r="Q636" s="19">
        <f>IF(tb_rechnungen[[#This Row],[Brutto]]&lt;&gt;0,tb_rechnungen[[#This Row],[Brutto]]-tb_rechnungen[[#This Row],[Netto]],"")</f>
        <v/>
      </c>
      <c r="R636" s="37">
        <f>IF(tb_rechnungen[[#This Row],[Netto]]&lt;&gt;0,ROUND(tb_rechnungen[[#This Row],[Steuer]]/tb_rechnungen[[#This Row],[Netto]],2),"")</f>
        <v/>
      </c>
    </row>
    <row r="637">
      <c r="A637" s="26" t="n"/>
      <c r="B637" s="27" t="n"/>
      <c r="C637" s="28" t="n"/>
      <c r="D637" s="28" t="n"/>
      <c r="E637" s="27" t="n"/>
      <c r="F637" s="29" t="n"/>
      <c r="G637" s="29" t="n"/>
      <c r="H637" s="30" t="n"/>
      <c r="I637" s="30" t="n"/>
      <c r="J637" s="30" t="n"/>
      <c r="K637" s="50" t="n"/>
      <c r="L637" s="50" t="n"/>
      <c r="M637" s="67" t="n"/>
      <c r="N637" s="30" t="n"/>
      <c r="O637" s="12">
        <f>IF(tb_rechnungen[[#This Row],[Re-Datum]]&gt;0,MONTH(tb_rechnungen[[#This Row],[Re-Datum]]),"")</f>
        <v/>
      </c>
      <c r="P637" s="13">
        <f>IF(tb_rechnungen[[#This Row],[Re-Datum]]&gt;0,YEAR(tb_rechnungen[[#This Row],[Re-Datum]]),"")</f>
        <v/>
      </c>
      <c r="Q637" s="19">
        <f>IF(tb_rechnungen[[#This Row],[Brutto]]&lt;&gt;0,tb_rechnungen[[#This Row],[Brutto]]-tb_rechnungen[[#This Row],[Netto]],"")</f>
        <v/>
      </c>
      <c r="R637" s="37">
        <f>IF(tb_rechnungen[[#This Row],[Netto]]&lt;&gt;0,ROUND(tb_rechnungen[[#This Row],[Steuer]]/tb_rechnungen[[#This Row],[Netto]],2),"")</f>
        <v/>
      </c>
    </row>
    <row r="638">
      <c r="A638" s="26" t="n"/>
      <c r="B638" s="27" t="n"/>
      <c r="C638" s="28" t="n"/>
      <c r="D638" s="28" t="n"/>
      <c r="E638" s="27" t="n"/>
      <c r="F638" s="29" t="n"/>
      <c r="G638" s="29" t="n"/>
      <c r="H638" s="30" t="n"/>
      <c r="I638" s="30" t="n"/>
      <c r="J638" s="30" t="n"/>
      <c r="K638" s="50" t="n"/>
      <c r="L638" s="50" t="n"/>
      <c r="M638" s="67" t="n"/>
      <c r="N638" s="30" t="n"/>
      <c r="O638" s="12">
        <f>IF(tb_rechnungen[[#This Row],[Re-Datum]]&gt;0,MONTH(tb_rechnungen[[#This Row],[Re-Datum]]),"")</f>
        <v/>
      </c>
      <c r="P638" s="13">
        <f>IF(tb_rechnungen[[#This Row],[Re-Datum]]&gt;0,YEAR(tb_rechnungen[[#This Row],[Re-Datum]]),"")</f>
        <v/>
      </c>
      <c r="Q638" s="19">
        <f>IF(tb_rechnungen[[#This Row],[Brutto]]&lt;&gt;0,tb_rechnungen[[#This Row],[Brutto]]-tb_rechnungen[[#This Row],[Netto]],"")</f>
        <v/>
      </c>
      <c r="R638" s="37">
        <f>IF(tb_rechnungen[[#This Row],[Netto]]&lt;&gt;0,ROUND(tb_rechnungen[[#This Row],[Steuer]]/tb_rechnungen[[#This Row],[Netto]],2),"")</f>
        <v/>
      </c>
    </row>
    <row r="639">
      <c r="A639" s="26" t="n"/>
      <c r="B639" s="27" t="n"/>
      <c r="C639" s="28" t="n"/>
      <c r="D639" s="28" t="n"/>
      <c r="E639" s="27" t="n"/>
      <c r="F639" s="29" t="n"/>
      <c r="G639" s="29" t="n"/>
      <c r="H639" s="30" t="n"/>
      <c r="I639" s="30" t="n"/>
      <c r="J639" s="30" t="n"/>
      <c r="K639" s="50" t="n"/>
      <c r="L639" s="50" t="n"/>
      <c r="M639" s="67" t="n"/>
      <c r="N639" s="30" t="n"/>
      <c r="O639" s="12">
        <f>IF(tb_rechnungen[[#This Row],[Re-Datum]]&gt;0,MONTH(tb_rechnungen[[#This Row],[Re-Datum]]),"")</f>
        <v/>
      </c>
      <c r="P639" s="13">
        <f>IF(tb_rechnungen[[#This Row],[Re-Datum]]&gt;0,YEAR(tb_rechnungen[[#This Row],[Re-Datum]]),"")</f>
        <v/>
      </c>
      <c r="Q639" s="19">
        <f>IF(tb_rechnungen[[#This Row],[Brutto]]&lt;&gt;0,tb_rechnungen[[#This Row],[Brutto]]-tb_rechnungen[[#This Row],[Netto]],"")</f>
        <v/>
      </c>
      <c r="R639" s="37">
        <f>IF(tb_rechnungen[[#This Row],[Netto]]&lt;&gt;0,ROUND(tb_rechnungen[[#This Row],[Steuer]]/tb_rechnungen[[#This Row],[Netto]],2),"")</f>
        <v/>
      </c>
    </row>
    <row r="640">
      <c r="A640" s="26" t="n"/>
      <c r="B640" s="27" t="n"/>
      <c r="C640" s="28" t="n"/>
      <c r="D640" s="28" t="n"/>
      <c r="E640" s="27" t="n"/>
      <c r="F640" s="29" t="n"/>
      <c r="G640" s="29" t="n"/>
      <c r="H640" s="30" t="n"/>
      <c r="I640" s="30" t="n"/>
      <c r="J640" s="30" t="n"/>
      <c r="K640" s="50" t="n"/>
      <c r="L640" s="50" t="n"/>
      <c r="M640" s="67" t="n"/>
      <c r="N640" s="30" t="n"/>
      <c r="O640" s="12">
        <f>IF(tb_rechnungen[[#This Row],[Re-Datum]]&gt;0,MONTH(tb_rechnungen[[#This Row],[Re-Datum]]),"")</f>
        <v/>
      </c>
      <c r="P640" s="13">
        <f>IF(tb_rechnungen[[#This Row],[Re-Datum]]&gt;0,YEAR(tb_rechnungen[[#This Row],[Re-Datum]]),"")</f>
        <v/>
      </c>
      <c r="Q640" s="19">
        <f>IF(tb_rechnungen[[#This Row],[Brutto]]&lt;&gt;0,tb_rechnungen[[#This Row],[Brutto]]-tb_rechnungen[[#This Row],[Netto]],"")</f>
        <v/>
      </c>
      <c r="R640" s="37">
        <f>IF(tb_rechnungen[[#This Row],[Netto]]&lt;&gt;0,ROUND(tb_rechnungen[[#This Row],[Steuer]]/tb_rechnungen[[#This Row],[Netto]],2),"")</f>
        <v/>
      </c>
    </row>
    <row r="641">
      <c r="A641" s="26" t="n"/>
      <c r="B641" s="27" t="n"/>
      <c r="C641" s="28" t="n"/>
      <c r="D641" s="28" t="n"/>
      <c r="E641" s="27" t="n"/>
      <c r="F641" s="29" t="n"/>
      <c r="G641" s="29" t="n"/>
      <c r="H641" s="30" t="n"/>
      <c r="I641" s="30" t="n"/>
      <c r="J641" s="30" t="n"/>
      <c r="K641" s="50" t="n"/>
      <c r="L641" s="50" t="n"/>
      <c r="M641" s="67" t="n"/>
      <c r="N641" s="30" t="n"/>
      <c r="O641" s="12">
        <f>IF(tb_rechnungen[[#This Row],[Re-Datum]]&gt;0,MONTH(tb_rechnungen[[#This Row],[Re-Datum]]),"")</f>
        <v/>
      </c>
      <c r="P641" s="13">
        <f>IF(tb_rechnungen[[#This Row],[Re-Datum]]&gt;0,YEAR(tb_rechnungen[[#This Row],[Re-Datum]]),"")</f>
        <v/>
      </c>
      <c r="Q641" s="19">
        <f>IF(tb_rechnungen[[#This Row],[Brutto]]&lt;&gt;0,tb_rechnungen[[#This Row],[Brutto]]-tb_rechnungen[[#This Row],[Netto]],"")</f>
        <v/>
      </c>
      <c r="R641" s="37">
        <f>IF(tb_rechnungen[[#This Row],[Netto]]&lt;&gt;0,ROUND(tb_rechnungen[[#This Row],[Steuer]]/tb_rechnungen[[#This Row],[Netto]],2),"")</f>
        <v/>
      </c>
    </row>
    <row r="642">
      <c r="A642" s="26" t="n"/>
      <c r="B642" s="27" t="n"/>
      <c r="C642" s="28" t="n"/>
      <c r="D642" s="28" t="n"/>
      <c r="E642" s="27" t="n"/>
      <c r="F642" s="29" t="n"/>
      <c r="G642" s="29" t="n"/>
      <c r="H642" s="30" t="n"/>
      <c r="I642" s="30" t="n"/>
      <c r="J642" s="30" t="n"/>
      <c r="K642" s="50" t="n"/>
      <c r="L642" s="50" t="n"/>
      <c r="M642" s="67" t="n"/>
      <c r="N642" s="30" t="n"/>
      <c r="O642" s="12">
        <f>IF(tb_rechnungen[[#This Row],[Re-Datum]]&gt;0,MONTH(tb_rechnungen[[#This Row],[Re-Datum]]),"")</f>
        <v/>
      </c>
      <c r="P642" s="13">
        <f>IF(tb_rechnungen[[#This Row],[Re-Datum]]&gt;0,YEAR(tb_rechnungen[[#This Row],[Re-Datum]]),"")</f>
        <v/>
      </c>
      <c r="Q642" s="19">
        <f>IF(tb_rechnungen[[#This Row],[Brutto]]&lt;&gt;0,tb_rechnungen[[#This Row],[Brutto]]-tb_rechnungen[[#This Row],[Netto]],"")</f>
        <v/>
      </c>
      <c r="R642" s="37">
        <f>IF(tb_rechnungen[[#This Row],[Netto]]&lt;&gt;0,ROUND(tb_rechnungen[[#This Row],[Steuer]]/tb_rechnungen[[#This Row],[Netto]],2),"")</f>
        <v/>
      </c>
    </row>
    <row r="643">
      <c r="A643" s="26" t="n"/>
      <c r="B643" s="27" t="n"/>
      <c r="C643" s="28" t="n"/>
      <c r="D643" s="28" t="n"/>
      <c r="E643" s="27" t="n"/>
      <c r="F643" s="29" t="n"/>
      <c r="G643" s="29" t="n"/>
      <c r="H643" s="30" t="n"/>
      <c r="I643" s="30" t="n"/>
      <c r="J643" s="30" t="n"/>
      <c r="K643" s="50" t="n"/>
      <c r="L643" s="50" t="n"/>
      <c r="M643" s="67" t="n"/>
      <c r="N643" s="30" t="n"/>
      <c r="O643" s="12">
        <f>IF(tb_rechnungen[[#This Row],[Re-Datum]]&gt;0,MONTH(tb_rechnungen[[#This Row],[Re-Datum]]),"")</f>
        <v/>
      </c>
      <c r="P643" s="13">
        <f>IF(tb_rechnungen[[#This Row],[Re-Datum]]&gt;0,YEAR(tb_rechnungen[[#This Row],[Re-Datum]]),"")</f>
        <v/>
      </c>
      <c r="Q643" s="19">
        <f>IF(tb_rechnungen[[#This Row],[Brutto]]&lt;&gt;0,tb_rechnungen[[#This Row],[Brutto]]-tb_rechnungen[[#This Row],[Netto]],"")</f>
        <v/>
      </c>
      <c r="R643" s="37">
        <f>IF(tb_rechnungen[[#This Row],[Netto]]&lt;&gt;0,ROUND(tb_rechnungen[[#This Row],[Steuer]]/tb_rechnungen[[#This Row],[Netto]],2),"")</f>
        <v/>
      </c>
    </row>
    <row r="644">
      <c r="A644" s="26" t="n"/>
      <c r="B644" s="27" t="n"/>
      <c r="C644" s="28" t="n"/>
      <c r="D644" s="28" t="n"/>
      <c r="E644" s="27" t="n"/>
      <c r="F644" s="29" t="n"/>
      <c r="G644" s="29" t="n"/>
      <c r="H644" s="30" t="n"/>
      <c r="I644" s="30" t="n"/>
      <c r="J644" s="30" t="n"/>
      <c r="K644" s="50" t="n"/>
      <c r="L644" s="50" t="n"/>
      <c r="M644" s="67" t="n"/>
      <c r="N644" s="30" t="n"/>
      <c r="O644" s="12">
        <f>IF(tb_rechnungen[[#This Row],[Re-Datum]]&gt;0,MONTH(tb_rechnungen[[#This Row],[Re-Datum]]),"")</f>
        <v/>
      </c>
      <c r="P644" s="13">
        <f>IF(tb_rechnungen[[#This Row],[Re-Datum]]&gt;0,YEAR(tb_rechnungen[[#This Row],[Re-Datum]]),"")</f>
        <v/>
      </c>
      <c r="Q644" s="19">
        <f>IF(tb_rechnungen[[#This Row],[Brutto]]&lt;&gt;0,tb_rechnungen[[#This Row],[Brutto]]-tb_rechnungen[[#This Row],[Netto]],"")</f>
        <v/>
      </c>
      <c r="R644" s="37">
        <f>IF(tb_rechnungen[[#This Row],[Netto]]&lt;&gt;0,ROUND(tb_rechnungen[[#This Row],[Steuer]]/tb_rechnungen[[#This Row],[Netto]],2),"")</f>
        <v/>
      </c>
    </row>
    <row r="645">
      <c r="A645" s="26" t="n"/>
      <c r="B645" s="27" t="n"/>
      <c r="C645" s="28" t="n"/>
      <c r="D645" s="28" t="n"/>
      <c r="E645" s="27" t="n"/>
      <c r="F645" s="29" t="n"/>
      <c r="G645" s="29" t="n"/>
      <c r="H645" s="30" t="n"/>
      <c r="I645" s="30" t="n"/>
      <c r="J645" s="30" t="n"/>
      <c r="K645" s="50" t="n"/>
      <c r="L645" s="50" t="n"/>
      <c r="M645" s="67" t="n"/>
      <c r="N645" s="30" t="n"/>
      <c r="O645" s="12">
        <f>IF(tb_rechnungen[[#This Row],[Re-Datum]]&gt;0,MONTH(tb_rechnungen[[#This Row],[Re-Datum]]),"")</f>
        <v/>
      </c>
      <c r="P645" s="13">
        <f>IF(tb_rechnungen[[#This Row],[Re-Datum]]&gt;0,YEAR(tb_rechnungen[[#This Row],[Re-Datum]]),"")</f>
        <v/>
      </c>
      <c r="Q645" s="19">
        <f>IF(tb_rechnungen[[#This Row],[Brutto]]&lt;&gt;0,tb_rechnungen[[#This Row],[Brutto]]-tb_rechnungen[[#This Row],[Netto]],"")</f>
        <v/>
      </c>
      <c r="R645" s="37">
        <f>IF(tb_rechnungen[[#This Row],[Netto]]&lt;&gt;0,ROUND(tb_rechnungen[[#This Row],[Steuer]]/tb_rechnungen[[#This Row],[Netto]],2),"")</f>
        <v/>
      </c>
    </row>
    <row r="646">
      <c r="A646" s="26" t="n"/>
      <c r="B646" s="27" t="n"/>
      <c r="C646" s="28" t="n"/>
      <c r="D646" s="28" t="n"/>
      <c r="E646" s="27" t="n"/>
      <c r="F646" s="29" t="n"/>
      <c r="G646" s="29" t="n"/>
      <c r="H646" s="30" t="n"/>
      <c r="I646" s="30" t="n"/>
      <c r="J646" s="30" t="n"/>
      <c r="K646" s="50" t="n"/>
      <c r="L646" s="50" t="n"/>
      <c r="M646" s="67" t="n"/>
      <c r="N646" s="30" t="n"/>
      <c r="O646" s="12">
        <f>IF(tb_rechnungen[[#This Row],[Re-Datum]]&gt;0,MONTH(tb_rechnungen[[#This Row],[Re-Datum]]),"")</f>
        <v/>
      </c>
      <c r="P646" s="13">
        <f>IF(tb_rechnungen[[#This Row],[Re-Datum]]&gt;0,YEAR(tb_rechnungen[[#This Row],[Re-Datum]]),"")</f>
        <v/>
      </c>
      <c r="Q646" s="19">
        <f>IF(tb_rechnungen[[#This Row],[Brutto]]&lt;&gt;0,tb_rechnungen[[#This Row],[Brutto]]-tb_rechnungen[[#This Row],[Netto]],"")</f>
        <v/>
      </c>
      <c r="R646" s="37">
        <f>IF(tb_rechnungen[[#This Row],[Netto]]&lt;&gt;0,ROUND(tb_rechnungen[[#This Row],[Steuer]]/tb_rechnungen[[#This Row],[Netto]],2),"")</f>
        <v/>
      </c>
    </row>
    <row r="647">
      <c r="A647" s="26" t="n"/>
      <c r="B647" s="27" t="n"/>
      <c r="C647" s="28" t="n"/>
      <c r="D647" s="28" t="n"/>
      <c r="E647" s="27" t="n"/>
      <c r="F647" s="29" t="n"/>
      <c r="G647" s="29" t="n"/>
      <c r="H647" s="30" t="n"/>
      <c r="I647" s="30" t="n"/>
      <c r="J647" s="30" t="n"/>
      <c r="K647" s="50" t="n"/>
      <c r="L647" s="50" t="n"/>
      <c r="M647" s="67" t="n"/>
      <c r="N647" s="30" t="n"/>
      <c r="O647" s="12">
        <f>IF(tb_rechnungen[[#This Row],[Re-Datum]]&gt;0,MONTH(tb_rechnungen[[#This Row],[Re-Datum]]),"")</f>
        <v/>
      </c>
      <c r="P647" s="13">
        <f>IF(tb_rechnungen[[#This Row],[Re-Datum]]&gt;0,YEAR(tb_rechnungen[[#This Row],[Re-Datum]]),"")</f>
        <v/>
      </c>
      <c r="Q647" s="19">
        <f>IF(tb_rechnungen[[#This Row],[Brutto]]&lt;&gt;0,tb_rechnungen[[#This Row],[Brutto]]-tb_rechnungen[[#This Row],[Netto]],"")</f>
        <v/>
      </c>
      <c r="R647" s="37">
        <f>IF(tb_rechnungen[[#This Row],[Netto]]&lt;&gt;0,ROUND(tb_rechnungen[[#This Row],[Steuer]]/tb_rechnungen[[#This Row],[Netto]],2),"")</f>
        <v/>
      </c>
    </row>
    <row r="648">
      <c r="A648" s="26" t="n"/>
      <c r="B648" s="27" t="n"/>
      <c r="C648" s="28" t="n"/>
      <c r="D648" s="28" t="n"/>
      <c r="E648" s="27" t="n"/>
      <c r="F648" s="29" t="n"/>
      <c r="G648" s="29" t="n"/>
      <c r="H648" s="30" t="n"/>
      <c r="I648" s="30" t="n"/>
      <c r="J648" s="30" t="n"/>
      <c r="K648" s="50" t="n"/>
      <c r="L648" s="50" t="n"/>
      <c r="M648" s="67" t="n"/>
      <c r="N648" s="30" t="n"/>
      <c r="O648" s="12">
        <f>IF(tb_rechnungen[[#This Row],[Re-Datum]]&gt;0,MONTH(tb_rechnungen[[#This Row],[Re-Datum]]),"")</f>
        <v/>
      </c>
      <c r="P648" s="13">
        <f>IF(tb_rechnungen[[#This Row],[Re-Datum]]&gt;0,YEAR(tb_rechnungen[[#This Row],[Re-Datum]]),"")</f>
        <v/>
      </c>
      <c r="Q648" s="19">
        <f>IF(tb_rechnungen[[#This Row],[Brutto]]&lt;&gt;0,tb_rechnungen[[#This Row],[Brutto]]-tb_rechnungen[[#This Row],[Netto]],"")</f>
        <v/>
      </c>
      <c r="R648" s="37">
        <f>IF(tb_rechnungen[[#This Row],[Netto]]&lt;&gt;0,ROUND(tb_rechnungen[[#This Row],[Steuer]]/tb_rechnungen[[#This Row],[Netto]],2),"")</f>
        <v/>
      </c>
    </row>
    <row r="649">
      <c r="A649" s="26" t="n"/>
      <c r="B649" s="27" t="n"/>
      <c r="C649" s="28" t="n"/>
      <c r="D649" s="28" t="n"/>
      <c r="E649" s="27" t="n"/>
      <c r="F649" s="29" t="n"/>
      <c r="G649" s="29" t="n"/>
      <c r="H649" s="30" t="n"/>
      <c r="I649" s="30" t="n"/>
      <c r="J649" s="30" t="n"/>
      <c r="K649" s="50" t="n"/>
      <c r="L649" s="50" t="n"/>
      <c r="M649" s="67" t="n"/>
      <c r="N649" s="30" t="n"/>
      <c r="O649" s="12">
        <f>IF(tb_rechnungen[[#This Row],[Re-Datum]]&gt;0,MONTH(tb_rechnungen[[#This Row],[Re-Datum]]),"")</f>
        <v/>
      </c>
      <c r="P649" s="13">
        <f>IF(tb_rechnungen[[#This Row],[Re-Datum]]&gt;0,YEAR(tb_rechnungen[[#This Row],[Re-Datum]]),"")</f>
        <v/>
      </c>
      <c r="Q649" s="19">
        <f>IF(tb_rechnungen[[#This Row],[Brutto]]&lt;&gt;0,tb_rechnungen[[#This Row],[Brutto]]-tb_rechnungen[[#This Row],[Netto]],"")</f>
        <v/>
      </c>
      <c r="R649" s="37">
        <f>IF(tb_rechnungen[[#This Row],[Netto]]&lt;&gt;0,ROUND(tb_rechnungen[[#This Row],[Steuer]]/tb_rechnungen[[#This Row],[Netto]],2),"")</f>
        <v/>
      </c>
    </row>
    <row r="650">
      <c r="A650" s="26" t="n"/>
      <c r="B650" s="27" t="n"/>
      <c r="C650" s="28" t="n"/>
      <c r="D650" s="28" t="n"/>
      <c r="E650" s="27" t="n"/>
      <c r="F650" s="29" t="n"/>
      <c r="G650" s="29" t="n"/>
      <c r="H650" s="30" t="n"/>
      <c r="I650" s="30" t="n"/>
      <c r="J650" s="30" t="n"/>
      <c r="K650" s="50" t="n"/>
      <c r="L650" s="50" t="n"/>
      <c r="M650" s="67" t="n"/>
      <c r="N650" s="30" t="n"/>
      <c r="O650" s="12">
        <f>IF(tb_rechnungen[[#This Row],[Re-Datum]]&gt;0,MONTH(tb_rechnungen[[#This Row],[Re-Datum]]),"")</f>
        <v/>
      </c>
      <c r="P650" s="13">
        <f>IF(tb_rechnungen[[#This Row],[Re-Datum]]&gt;0,YEAR(tb_rechnungen[[#This Row],[Re-Datum]]),"")</f>
        <v/>
      </c>
      <c r="Q650" s="19">
        <f>IF(tb_rechnungen[[#This Row],[Brutto]]&lt;&gt;0,tb_rechnungen[[#This Row],[Brutto]]-tb_rechnungen[[#This Row],[Netto]],"")</f>
        <v/>
      </c>
      <c r="R650" s="37">
        <f>IF(tb_rechnungen[[#This Row],[Netto]]&lt;&gt;0,ROUND(tb_rechnungen[[#This Row],[Steuer]]/tb_rechnungen[[#This Row],[Netto]],2),"")</f>
        <v/>
      </c>
    </row>
    <row r="651">
      <c r="A651" s="26" t="n"/>
      <c r="B651" s="27" t="n"/>
      <c r="C651" s="28" t="n"/>
      <c r="D651" s="28" t="n"/>
      <c r="E651" s="27" t="n"/>
      <c r="F651" s="29" t="n"/>
      <c r="G651" s="29" t="n"/>
      <c r="H651" s="30" t="n"/>
      <c r="I651" s="30" t="n"/>
      <c r="J651" s="30" t="n"/>
      <c r="K651" s="50" t="n"/>
      <c r="L651" s="50" t="n"/>
      <c r="M651" s="67" t="n"/>
      <c r="N651" s="30" t="n"/>
      <c r="O651" s="12">
        <f>IF(tb_rechnungen[[#This Row],[Re-Datum]]&gt;0,MONTH(tb_rechnungen[[#This Row],[Re-Datum]]),"")</f>
        <v/>
      </c>
      <c r="P651" s="13">
        <f>IF(tb_rechnungen[[#This Row],[Re-Datum]]&gt;0,YEAR(tb_rechnungen[[#This Row],[Re-Datum]]),"")</f>
        <v/>
      </c>
      <c r="Q651" s="19">
        <f>IF(tb_rechnungen[[#This Row],[Brutto]]&lt;&gt;0,tb_rechnungen[[#This Row],[Brutto]]-tb_rechnungen[[#This Row],[Netto]],"")</f>
        <v/>
      </c>
      <c r="R651" s="37">
        <f>IF(tb_rechnungen[[#This Row],[Netto]]&lt;&gt;0,ROUND(tb_rechnungen[[#This Row],[Steuer]]/tb_rechnungen[[#This Row],[Netto]],2),"")</f>
        <v/>
      </c>
    </row>
    <row r="652">
      <c r="A652" s="26" t="n"/>
      <c r="B652" s="27" t="n"/>
      <c r="C652" s="28" t="n"/>
      <c r="D652" s="28" t="n"/>
      <c r="E652" s="27" t="n"/>
      <c r="F652" s="29" t="n"/>
      <c r="G652" s="29" t="n"/>
      <c r="H652" s="30" t="n"/>
      <c r="I652" s="30" t="n"/>
      <c r="J652" s="30" t="n"/>
      <c r="K652" s="50" t="n"/>
      <c r="L652" s="50" t="n"/>
      <c r="M652" s="67" t="n"/>
      <c r="N652" s="30" t="n"/>
      <c r="O652" s="12">
        <f>IF(tb_rechnungen[[#This Row],[Re-Datum]]&gt;0,MONTH(tb_rechnungen[[#This Row],[Re-Datum]]),"")</f>
        <v/>
      </c>
      <c r="P652" s="13">
        <f>IF(tb_rechnungen[[#This Row],[Re-Datum]]&gt;0,YEAR(tb_rechnungen[[#This Row],[Re-Datum]]),"")</f>
        <v/>
      </c>
      <c r="Q652" s="19">
        <f>IF(tb_rechnungen[[#This Row],[Brutto]]&lt;&gt;0,tb_rechnungen[[#This Row],[Brutto]]-tb_rechnungen[[#This Row],[Netto]],"")</f>
        <v/>
      </c>
      <c r="R652" s="37">
        <f>IF(tb_rechnungen[[#This Row],[Netto]]&lt;&gt;0,ROUND(tb_rechnungen[[#This Row],[Steuer]]/tb_rechnungen[[#This Row],[Netto]],2),"")</f>
        <v/>
      </c>
    </row>
    <row r="653">
      <c r="A653" s="26" t="n"/>
      <c r="B653" s="27" t="n"/>
      <c r="C653" s="28" t="n"/>
      <c r="D653" s="28" t="n"/>
      <c r="E653" s="27" t="n"/>
      <c r="F653" s="29" t="n"/>
      <c r="G653" s="29" t="n"/>
      <c r="H653" s="30" t="n"/>
      <c r="I653" s="30" t="n"/>
      <c r="J653" s="30" t="n"/>
      <c r="K653" s="50" t="n"/>
      <c r="L653" s="50" t="n"/>
      <c r="M653" s="67" t="n"/>
      <c r="N653" s="30" t="n"/>
      <c r="O653" s="12">
        <f>IF(tb_rechnungen[[#This Row],[Re-Datum]]&gt;0,MONTH(tb_rechnungen[[#This Row],[Re-Datum]]),"")</f>
        <v/>
      </c>
      <c r="P653" s="13">
        <f>IF(tb_rechnungen[[#This Row],[Re-Datum]]&gt;0,YEAR(tb_rechnungen[[#This Row],[Re-Datum]]),"")</f>
        <v/>
      </c>
      <c r="Q653" s="19">
        <f>IF(tb_rechnungen[[#This Row],[Brutto]]&lt;&gt;0,tb_rechnungen[[#This Row],[Brutto]]-tb_rechnungen[[#This Row],[Netto]],"")</f>
        <v/>
      </c>
      <c r="R653" s="37">
        <f>IF(tb_rechnungen[[#This Row],[Netto]]&lt;&gt;0,ROUND(tb_rechnungen[[#This Row],[Steuer]]/tb_rechnungen[[#This Row],[Netto]],2),"")</f>
        <v/>
      </c>
    </row>
    <row r="654">
      <c r="A654" s="26" t="n"/>
      <c r="B654" s="27" t="n"/>
      <c r="C654" s="28" t="n"/>
      <c r="D654" s="28" t="n"/>
      <c r="E654" s="27" t="n"/>
      <c r="F654" s="29" t="n"/>
      <c r="G654" s="29" t="n"/>
      <c r="H654" s="30" t="n"/>
      <c r="I654" s="30" t="n"/>
      <c r="J654" s="30" t="n"/>
      <c r="K654" s="50" t="n"/>
      <c r="L654" s="50" t="n"/>
      <c r="M654" s="67" t="n"/>
      <c r="N654" s="30" t="n"/>
      <c r="O654" s="12">
        <f>IF(tb_rechnungen[[#This Row],[Re-Datum]]&gt;0,MONTH(tb_rechnungen[[#This Row],[Re-Datum]]),"")</f>
        <v/>
      </c>
      <c r="P654" s="13">
        <f>IF(tb_rechnungen[[#This Row],[Re-Datum]]&gt;0,YEAR(tb_rechnungen[[#This Row],[Re-Datum]]),"")</f>
        <v/>
      </c>
      <c r="Q654" s="19">
        <f>IF(tb_rechnungen[[#This Row],[Brutto]]&lt;&gt;0,tb_rechnungen[[#This Row],[Brutto]]-tb_rechnungen[[#This Row],[Netto]],"")</f>
        <v/>
      </c>
      <c r="R654" s="37">
        <f>IF(tb_rechnungen[[#This Row],[Netto]]&lt;&gt;0,ROUND(tb_rechnungen[[#This Row],[Steuer]]/tb_rechnungen[[#This Row],[Netto]],2),"")</f>
        <v/>
      </c>
    </row>
    <row r="655">
      <c r="A655" s="26" t="n"/>
      <c r="B655" s="27" t="n"/>
      <c r="C655" s="28" t="n"/>
      <c r="D655" s="28" t="n"/>
      <c r="E655" s="27" t="n"/>
      <c r="F655" s="29" t="n"/>
      <c r="G655" s="29" t="n"/>
      <c r="H655" s="30" t="n"/>
      <c r="I655" s="30" t="n"/>
      <c r="J655" s="30" t="n"/>
      <c r="K655" s="50" t="n"/>
      <c r="L655" s="50" t="n"/>
      <c r="M655" s="67" t="n"/>
      <c r="N655" s="30" t="n"/>
      <c r="O655" s="12">
        <f>IF(tb_rechnungen[[#This Row],[Re-Datum]]&gt;0,MONTH(tb_rechnungen[[#This Row],[Re-Datum]]),"")</f>
        <v/>
      </c>
      <c r="P655" s="13">
        <f>IF(tb_rechnungen[[#This Row],[Re-Datum]]&gt;0,YEAR(tb_rechnungen[[#This Row],[Re-Datum]]),"")</f>
        <v/>
      </c>
      <c r="Q655" s="19">
        <f>IF(tb_rechnungen[[#This Row],[Brutto]]&lt;&gt;0,tb_rechnungen[[#This Row],[Brutto]]-tb_rechnungen[[#This Row],[Netto]],"")</f>
        <v/>
      </c>
      <c r="R655" s="37">
        <f>IF(tb_rechnungen[[#This Row],[Netto]]&lt;&gt;0,ROUND(tb_rechnungen[[#This Row],[Steuer]]/tb_rechnungen[[#This Row],[Netto]],2),"")</f>
        <v/>
      </c>
    </row>
    <row r="656">
      <c r="A656" s="26" t="n"/>
      <c r="B656" s="27" t="n"/>
      <c r="C656" s="28" t="n"/>
      <c r="D656" s="28" t="n"/>
      <c r="E656" s="27" t="n"/>
      <c r="F656" s="29" t="n"/>
      <c r="G656" s="29" t="n"/>
      <c r="H656" s="30" t="n"/>
      <c r="I656" s="30" t="n"/>
      <c r="J656" s="30" t="n"/>
      <c r="K656" s="50" t="n"/>
      <c r="L656" s="50" t="n"/>
      <c r="M656" s="67" t="n"/>
      <c r="N656" s="30" t="n"/>
      <c r="O656" s="12">
        <f>IF(tb_rechnungen[[#This Row],[Re-Datum]]&gt;0,MONTH(tb_rechnungen[[#This Row],[Re-Datum]]),"")</f>
        <v/>
      </c>
      <c r="P656" s="13">
        <f>IF(tb_rechnungen[[#This Row],[Re-Datum]]&gt;0,YEAR(tb_rechnungen[[#This Row],[Re-Datum]]),"")</f>
        <v/>
      </c>
      <c r="Q656" s="19">
        <f>IF(tb_rechnungen[[#This Row],[Brutto]]&lt;&gt;0,tb_rechnungen[[#This Row],[Brutto]]-tb_rechnungen[[#This Row],[Netto]],"")</f>
        <v/>
      </c>
      <c r="R656" s="37">
        <f>IF(tb_rechnungen[[#This Row],[Netto]]&lt;&gt;0,ROUND(tb_rechnungen[[#This Row],[Steuer]]/tb_rechnungen[[#This Row],[Netto]],2),"")</f>
        <v/>
      </c>
    </row>
    <row r="657">
      <c r="A657" s="26" t="n"/>
      <c r="B657" s="27" t="n"/>
      <c r="C657" s="28" t="n"/>
      <c r="D657" s="28" t="n"/>
      <c r="E657" s="27" t="n"/>
      <c r="F657" s="29" t="n"/>
      <c r="G657" s="29" t="n"/>
      <c r="H657" s="30" t="n"/>
      <c r="I657" s="30" t="n"/>
      <c r="J657" s="30" t="n"/>
      <c r="K657" s="50" t="n"/>
      <c r="L657" s="50" t="n"/>
      <c r="M657" s="67" t="n"/>
      <c r="N657" s="30" t="n"/>
      <c r="O657" s="12">
        <f>IF(tb_rechnungen[[#This Row],[Re-Datum]]&gt;0,MONTH(tb_rechnungen[[#This Row],[Re-Datum]]),"")</f>
        <v/>
      </c>
      <c r="P657" s="13">
        <f>IF(tb_rechnungen[[#This Row],[Re-Datum]]&gt;0,YEAR(tb_rechnungen[[#This Row],[Re-Datum]]),"")</f>
        <v/>
      </c>
      <c r="Q657" s="19">
        <f>IF(tb_rechnungen[[#This Row],[Brutto]]&lt;&gt;0,tb_rechnungen[[#This Row],[Brutto]]-tb_rechnungen[[#This Row],[Netto]],"")</f>
        <v/>
      </c>
      <c r="R657" s="37">
        <f>IF(tb_rechnungen[[#This Row],[Netto]]&lt;&gt;0,ROUND(tb_rechnungen[[#This Row],[Steuer]]/tb_rechnungen[[#This Row],[Netto]],2),"")</f>
        <v/>
      </c>
    </row>
    <row r="658">
      <c r="A658" s="26" t="n"/>
      <c r="B658" s="27" t="n"/>
      <c r="C658" s="28" t="n"/>
      <c r="D658" s="28" t="n"/>
      <c r="E658" s="27" t="n"/>
      <c r="F658" s="29" t="n"/>
      <c r="G658" s="29" t="n"/>
      <c r="H658" s="30" t="n"/>
      <c r="I658" s="30" t="n"/>
      <c r="J658" s="30" t="n"/>
      <c r="K658" s="50" t="n"/>
      <c r="L658" s="50" t="n"/>
      <c r="M658" s="67" t="n"/>
      <c r="N658" s="30" t="n"/>
      <c r="O658" s="12">
        <f>IF(tb_rechnungen[[#This Row],[Re-Datum]]&gt;0,MONTH(tb_rechnungen[[#This Row],[Re-Datum]]),"")</f>
        <v/>
      </c>
      <c r="P658" s="13">
        <f>IF(tb_rechnungen[[#This Row],[Re-Datum]]&gt;0,YEAR(tb_rechnungen[[#This Row],[Re-Datum]]),"")</f>
        <v/>
      </c>
      <c r="Q658" s="19">
        <f>IF(tb_rechnungen[[#This Row],[Brutto]]&lt;&gt;0,tb_rechnungen[[#This Row],[Brutto]]-tb_rechnungen[[#This Row],[Netto]],"")</f>
        <v/>
      </c>
      <c r="R658" s="37">
        <f>IF(tb_rechnungen[[#This Row],[Netto]]&lt;&gt;0,ROUND(tb_rechnungen[[#This Row],[Steuer]]/tb_rechnungen[[#This Row],[Netto]],2),"")</f>
        <v/>
      </c>
    </row>
    <row r="659">
      <c r="A659" s="26" t="n"/>
      <c r="B659" s="27" t="n"/>
      <c r="C659" s="28" t="n"/>
      <c r="D659" s="28" t="n"/>
      <c r="E659" s="27" t="n"/>
      <c r="F659" s="29" t="n"/>
      <c r="G659" s="29" t="n"/>
      <c r="H659" s="30" t="n"/>
      <c r="I659" s="30" t="n"/>
      <c r="J659" s="30" t="n"/>
      <c r="K659" s="50" t="n"/>
      <c r="L659" s="50" t="n"/>
      <c r="M659" s="67" t="n"/>
      <c r="N659" s="30" t="n"/>
      <c r="O659" s="12">
        <f>IF(tb_rechnungen[[#This Row],[Re-Datum]]&gt;0,MONTH(tb_rechnungen[[#This Row],[Re-Datum]]),"")</f>
        <v/>
      </c>
      <c r="P659" s="13">
        <f>IF(tb_rechnungen[[#This Row],[Re-Datum]]&gt;0,YEAR(tb_rechnungen[[#This Row],[Re-Datum]]),"")</f>
        <v/>
      </c>
      <c r="Q659" s="19">
        <f>IF(tb_rechnungen[[#This Row],[Brutto]]&lt;&gt;0,tb_rechnungen[[#This Row],[Brutto]]-tb_rechnungen[[#This Row],[Netto]],"")</f>
        <v/>
      </c>
      <c r="R659" s="37">
        <f>IF(tb_rechnungen[[#This Row],[Netto]]&lt;&gt;0,ROUND(tb_rechnungen[[#This Row],[Steuer]]/tb_rechnungen[[#This Row],[Netto]],2),"")</f>
        <v/>
      </c>
    </row>
    <row r="660">
      <c r="A660" s="26" t="n"/>
      <c r="B660" s="27" t="n"/>
      <c r="C660" s="28" t="n"/>
      <c r="D660" s="28" t="n"/>
      <c r="E660" s="27" t="n"/>
      <c r="F660" s="29" t="n"/>
      <c r="G660" s="29" t="n"/>
      <c r="H660" s="30" t="n"/>
      <c r="I660" s="30" t="n"/>
      <c r="J660" s="30" t="n"/>
      <c r="K660" s="50" t="n"/>
      <c r="L660" s="50" t="n"/>
      <c r="M660" s="67" t="n"/>
      <c r="N660" s="30" t="n"/>
      <c r="O660" s="12">
        <f>IF(tb_rechnungen[[#This Row],[Re-Datum]]&gt;0,MONTH(tb_rechnungen[[#This Row],[Re-Datum]]),"")</f>
        <v/>
      </c>
      <c r="P660" s="13">
        <f>IF(tb_rechnungen[[#This Row],[Re-Datum]]&gt;0,YEAR(tb_rechnungen[[#This Row],[Re-Datum]]),"")</f>
        <v/>
      </c>
      <c r="Q660" s="19">
        <f>IF(tb_rechnungen[[#This Row],[Brutto]]&lt;&gt;0,tb_rechnungen[[#This Row],[Brutto]]-tb_rechnungen[[#This Row],[Netto]],"")</f>
        <v/>
      </c>
      <c r="R660" s="37">
        <f>IF(tb_rechnungen[[#This Row],[Netto]]&lt;&gt;0,ROUND(tb_rechnungen[[#This Row],[Steuer]]/tb_rechnungen[[#This Row],[Netto]],2),"")</f>
        <v/>
      </c>
    </row>
    <row r="661">
      <c r="A661" s="26" t="n"/>
      <c r="B661" s="27" t="n"/>
      <c r="C661" s="28" t="n"/>
      <c r="D661" s="28" t="n"/>
      <c r="E661" s="27" t="n"/>
      <c r="F661" s="29" t="n"/>
      <c r="G661" s="29" t="n"/>
      <c r="H661" s="30" t="n"/>
      <c r="I661" s="30" t="n"/>
      <c r="J661" s="30" t="n"/>
      <c r="K661" s="50" t="n"/>
      <c r="L661" s="50" t="n"/>
      <c r="M661" s="67" t="n"/>
      <c r="N661" s="30" t="n"/>
      <c r="O661" s="12">
        <f>IF(tb_rechnungen[[#This Row],[Re-Datum]]&gt;0,MONTH(tb_rechnungen[[#This Row],[Re-Datum]]),"")</f>
        <v/>
      </c>
      <c r="P661" s="13">
        <f>IF(tb_rechnungen[[#This Row],[Re-Datum]]&gt;0,YEAR(tb_rechnungen[[#This Row],[Re-Datum]]),"")</f>
        <v/>
      </c>
      <c r="Q661" s="19">
        <f>IF(tb_rechnungen[[#This Row],[Brutto]]&lt;&gt;0,tb_rechnungen[[#This Row],[Brutto]]-tb_rechnungen[[#This Row],[Netto]],"")</f>
        <v/>
      </c>
      <c r="R661" s="37">
        <f>IF(tb_rechnungen[[#This Row],[Netto]]&lt;&gt;0,ROUND(tb_rechnungen[[#This Row],[Steuer]]/tb_rechnungen[[#This Row],[Netto]],2),"")</f>
        <v/>
      </c>
    </row>
    <row r="662">
      <c r="A662" s="26" t="n"/>
      <c r="B662" s="27" t="n"/>
      <c r="C662" s="28" t="n"/>
      <c r="D662" s="28" t="n"/>
      <c r="E662" s="27" t="n"/>
      <c r="F662" s="29" t="n"/>
      <c r="G662" s="29" t="n"/>
      <c r="H662" s="30" t="n"/>
      <c r="I662" s="30" t="n"/>
      <c r="J662" s="30" t="n"/>
      <c r="K662" s="50" t="n"/>
      <c r="L662" s="50" t="n"/>
      <c r="M662" s="67" t="n"/>
      <c r="N662" s="30" t="n"/>
      <c r="O662" s="12">
        <f>IF(tb_rechnungen[[#This Row],[Re-Datum]]&gt;0,MONTH(tb_rechnungen[[#This Row],[Re-Datum]]),"")</f>
        <v/>
      </c>
      <c r="P662" s="13">
        <f>IF(tb_rechnungen[[#This Row],[Re-Datum]]&gt;0,YEAR(tb_rechnungen[[#This Row],[Re-Datum]]),"")</f>
        <v/>
      </c>
      <c r="Q662" s="19">
        <f>IF(tb_rechnungen[[#This Row],[Brutto]]&lt;&gt;0,tb_rechnungen[[#This Row],[Brutto]]-tb_rechnungen[[#This Row],[Netto]],"")</f>
        <v/>
      </c>
      <c r="R662" s="37">
        <f>IF(tb_rechnungen[[#This Row],[Netto]]&lt;&gt;0,ROUND(tb_rechnungen[[#This Row],[Steuer]]/tb_rechnungen[[#This Row],[Netto]],2),"")</f>
        <v/>
      </c>
    </row>
    <row r="663">
      <c r="A663" s="26" t="n"/>
      <c r="B663" s="27" t="n"/>
      <c r="C663" s="28" t="n"/>
      <c r="D663" s="28" t="n"/>
      <c r="E663" s="27" t="n"/>
      <c r="F663" s="29" t="n"/>
      <c r="G663" s="29" t="n"/>
      <c r="H663" s="30" t="n"/>
      <c r="I663" s="30" t="n"/>
      <c r="J663" s="30" t="n"/>
      <c r="K663" s="50" t="n"/>
      <c r="L663" s="50" t="n"/>
      <c r="M663" s="67" t="n"/>
      <c r="N663" s="30" t="n"/>
      <c r="O663" s="12">
        <f>IF(tb_rechnungen[[#This Row],[Re-Datum]]&gt;0,MONTH(tb_rechnungen[[#This Row],[Re-Datum]]),"")</f>
        <v/>
      </c>
      <c r="P663" s="13">
        <f>IF(tb_rechnungen[[#This Row],[Re-Datum]]&gt;0,YEAR(tb_rechnungen[[#This Row],[Re-Datum]]),"")</f>
        <v/>
      </c>
      <c r="Q663" s="19">
        <f>IF(tb_rechnungen[[#This Row],[Brutto]]&lt;&gt;0,tb_rechnungen[[#This Row],[Brutto]]-tb_rechnungen[[#This Row],[Netto]],"")</f>
        <v/>
      </c>
      <c r="R663" s="37">
        <f>IF(tb_rechnungen[[#This Row],[Netto]]&lt;&gt;0,ROUND(tb_rechnungen[[#This Row],[Steuer]]/tb_rechnungen[[#This Row],[Netto]],2),"")</f>
        <v/>
      </c>
    </row>
    <row r="664">
      <c r="A664" s="26" t="n"/>
      <c r="B664" s="27" t="n"/>
      <c r="C664" s="28" t="n"/>
      <c r="D664" s="28" t="n"/>
      <c r="E664" s="27" t="n"/>
      <c r="F664" s="29" t="n"/>
      <c r="G664" s="29" t="n"/>
      <c r="H664" s="30" t="n"/>
      <c r="I664" s="30" t="n"/>
      <c r="J664" s="30" t="n"/>
      <c r="K664" s="50" t="n"/>
      <c r="L664" s="50" t="n"/>
      <c r="M664" s="67" t="n"/>
      <c r="N664" s="30" t="n"/>
      <c r="O664" s="12">
        <f>IF(tb_rechnungen[[#This Row],[Re-Datum]]&gt;0,MONTH(tb_rechnungen[[#This Row],[Re-Datum]]),"")</f>
        <v/>
      </c>
      <c r="P664" s="13">
        <f>IF(tb_rechnungen[[#This Row],[Re-Datum]]&gt;0,YEAR(tb_rechnungen[[#This Row],[Re-Datum]]),"")</f>
        <v/>
      </c>
      <c r="Q664" s="19">
        <f>IF(tb_rechnungen[[#This Row],[Brutto]]&lt;&gt;0,tb_rechnungen[[#This Row],[Brutto]]-tb_rechnungen[[#This Row],[Netto]],"")</f>
        <v/>
      </c>
      <c r="R664" s="37">
        <f>IF(tb_rechnungen[[#This Row],[Netto]]&lt;&gt;0,ROUND(tb_rechnungen[[#This Row],[Steuer]]/tb_rechnungen[[#This Row],[Netto]],2),"")</f>
        <v/>
      </c>
    </row>
    <row r="665">
      <c r="A665" s="26" t="n"/>
      <c r="B665" s="27" t="n"/>
      <c r="C665" s="28" t="n"/>
      <c r="D665" s="28" t="n"/>
      <c r="E665" s="27" t="n"/>
      <c r="F665" s="29" t="n"/>
      <c r="G665" s="29" t="n"/>
      <c r="H665" s="30" t="n"/>
      <c r="I665" s="30" t="n"/>
      <c r="J665" s="30" t="n"/>
      <c r="K665" s="50" t="n"/>
      <c r="L665" s="50" t="n"/>
      <c r="M665" s="67" t="n"/>
      <c r="N665" s="30" t="n"/>
      <c r="O665" s="12">
        <f>IF(tb_rechnungen[[#This Row],[Re-Datum]]&gt;0,MONTH(tb_rechnungen[[#This Row],[Re-Datum]]),"")</f>
        <v/>
      </c>
      <c r="P665" s="13">
        <f>IF(tb_rechnungen[[#This Row],[Re-Datum]]&gt;0,YEAR(tb_rechnungen[[#This Row],[Re-Datum]]),"")</f>
        <v/>
      </c>
      <c r="Q665" s="19">
        <f>IF(tb_rechnungen[[#This Row],[Brutto]]&lt;&gt;0,tb_rechnungen[[#This Row],[Brutto]]-tb_rechnungen[[#This Row],[Netto]],"")</f>
        <v/>
      </c>
      <c r="R665" s="37">
        <f>IF(tb_rechnungen[[#This Row],[Netto]]&lt;&gt;0,ROUND(tb_rechnungen[[#This Row],[Steuer]]/tb_rechnungen[[#This Row],[Netto]],2),"")</f>
        <v/>
      </c>
    </row>
    <row r="666">
      <c r="A666" s="26" t="n"/>
      <c r="B666" s="27" t="n"/>
      <c r="C666" s="28" t="n"/>
      <c r="D666" s="28" t="n"/>
      <c r="E666" s="27" t="n"/>
      <c r="F666" s="29" t="n"/>
      <c r="G666" s="29" t="n"/>
      <c r="H666" s="30" t="n"/>
      <c r="I666" s="30" t="n"/>
      <c r="J666" s="30" t="n"/>
      <c r="K666" s="50" t="n"/>
      <c r="L666" s="50" t="n"/>
      <c r="M666" s="67" t="n"/>
      <c r="N666" s="30" t="n"/>
      <c r="O666" s="12">
        <f>IF(tb_rechnungen[[#This Row],[Re-Datum]]&gt;0,MONTH(tb_rechnungen[[#This Row],[Re-Datum]]),"")</f>
        <v/>
      </c>
      <c r="P666" s="13">
        <f>IF(tb_rechnungen[[#This Row],[Re-Datum]]&gt;0,YEAR(tb_rechnungen[[#This Row],[Re-Datum]]),"")</f>
        <v/>
      </c>
      <c r="Q666" s="19">
        <f>IF(tb_rechnungen[[#This Row],[Brutto]]&lt;&gt;0,tb_rechnungen[[#This Row],[Brutto]]-tb_rechnungen[[#This Row],[Netto]],"")</f>
        <v/>
      </c>
      <c r="R666" s="37">
        <f>IF(tb_rechnungen[[#This Row],[Netto]]&lt;&gt;0,ROUND(tb_rechnungen[[#This Row],[Steuer]]/tb_rechnungen[[#This Row],[Netto]],2),"")</f>
        <v/>
      </c>
    </row>
    <row r="667">
      <c r="A667" s="26" t="n"/>
      <c r="B667" s="27" t="n"/>
      <c r="C667" s="28" t="n"/>
      <c r="D667" s="28" t="n"/>
      <c r="E667" s="27" t="n"/>
      <c r="F667" s="29" t="n"/>
      <c r="G667" s="29" t="n"/>
      <c r="H667" s="30" t="n"/>
      <c r="I667" s="30" t="n"/>
      <c r="J667" s="30" t="n"/>
      <c r="K667" s="50" t="n"/>
      <c r="L667" s="50" t="n"/>
      <c r="M667" s="67" t="n"/>
      <c r="N667" s="30" t="n"/>
      <c r="O667" s="12">
        <f>IF(tb_rechnungen[[#This Row],[Re-Datum]]&gt;0,MONTH(tb_rechnungen[[#This Row],[Re-Datum]]),"")</f>
        <v/>
      </c>
      <c r="P667" s="13">
        <f>IF(tb_rechnungen[[#This Row],[Re-Datum]]&gt;0,YEAR(tb_rechnungen[[#This Row],[Re-Datum]]),"")</f>
        <v/>
      </c>
      <c r="Q667" s="19">
        <f>IF(tb_rechnungen[[#This Row],[Brutto]]&lt;&gt;0,tb_rechnungen[[#This Row],[Brutto]]-tb_rechnungen[[#This Row],[Netto]],"")</f>
        <v/>
      </c>
      <c r="R667" s="37">
        <f>IF(tb_rechnungen[[#This Row],[Netto]]&lt;&gt;0,ROUND(tb_rechnungen[[#This Row],[Steuer]]/tb_rechnungen[[#This Row],[Netto]],2),"")</f>
        <v/>
      </c>
    </row>
    <row r="668">
      <c r="A668" s="26" t="n"/>
      <c r="B668" s="27" t="n"/>
      <c r="C668" s="28" t="n"/>
      <c r="D668" s="28" t="n"/>
      <c r="E668" s="27" t="n"/>
      <c r="F668" s="29" t="n"/>
      <c r="G668" s="29" t="n"/>
      <c r="H668" s="30" t="n"/>
      <c r="I668" s="30" t="n"/>
      <c r="J668" s="30" t="n"/>
      <c r="K668" s="50" t="n"/>
      <c r="L668" s="50" t="n"/>
      <c r="M668" s="67" t="n"/>
      <c r="N668" s="30" t="n"/>
      <c r="O668" s="12">
        <f>IF(tb_rechnungen[[#This Row],[Re-Datum]]&gt;0,MONTH(tb_rechnungen[[#This Row],[Re-Datum]]),"")</f>
        <v/>
      </c>
      <c r="P668" s="13">
        <f>IF(tb_rechnungen[[#This Row],[Re-Datum]]&gt;0,YEAR(tb_rechnungen[[#This Row],[Re-Datum]]),"")</f>
        <v/>
      </c>
      <c r="Q668" s="19">
        <f>IF(tb_rechnungen[[#This Row],[Brutto]]&lt;&gt;0,tb_rechnungen[[#This Row],[Brutto]]-tb_rechnungen[[#This Row],[Netto]],"")</f>
        <v/>
      </c>
      <c r="R668" s="37">
        <f>IF(tb_rechnungen[[#This Row],[Netto]]&lt;&gt;0,ROUND(tb_rechnungen[[#This Row],[Steuer]]/tb_rechnungen[[#This Row],[Netto]],2),"")</f>
        <v/>
      </c>
    </row>
    <row r="669">
      <c r="A669" s="26" t="n"/>
      <c r="B669" s="27" t="n"/>
      <c r="C669" s="28" t="n"/>
      <c r="D669" s="28" t="n"/>
      <c r="E669" s="27" t="n"/>
      <c r="F669" s="29" t="n"/>
      <c r="G669" s="29" t="n"/>
      <c r="H669" s="30" t="n"/>
      <c r="I669" s="30" t="n"/>
      <c r="J669" s="30" t="n"/>
      <c r="K669" s="50" t="n"/>
      <c r="L669" s="50" t="n"/>
      <c r="M669" s="67" t="n"/>
      <c r="N669" s="30" t="n"/>
      <c r="O669" s="12">
        <f>IF(tb_rechnungen[[#This Row],[Re-Datum]]&gt;0,MONTH(tb_rechnungen[[#This Row],[Re-Datum]]),"")</f>
        <v/>
      </c>
      <c r="P669" s="13">
        <f>IF(tb_rechnungen[[#This Row],[Re-Datum]]&gt;0,YEAR(tb_rechnungen[[#This Row],[Re-Datum]]),"")</f>
        <v/>
      </c>
      <c r="Q669" s="19">
        <f>IF(tb_rechnungen[[#This Row],[Brutto]]&lt;&gt;0,tb_rechnungen[[#This Row],[Brutto]]-tb_rechnungen[[#This Row],[Netto]],"")</f>
        <v/>
      </c>
      <c r="R669" s="37">
        <f>IF(tb_rechnungen[[#This Row],[Netto]]&lt;&gt;0,ROUND(tb_rechnungen[[#This Row],[Steuer]]/tb_rechnungen[[#This Row],[Netto]],2),"")</f>
        <v/>
      </c>
    </row>
    <row r="670">
      <c r="A670" s="26" t="n"/>
      <c r="B670" s="27" t="n"/>
      <c r="C670" s="28" t="n"/>
      <c r="D670" s="28" t="n"/>
      <c r="E670" s="27" t="n"/>
      <c r="F670" s="29" t="n"/>
      <c r="G670" s="29" t="n"/>
      <c r="H670" s="30" t="n"/>
      <c r="I670" s="30" t="n"/>
      <c r="J670" s="30" t="n"/>
      <c r="K670" s="50" t="n"/>
      <c r="L670" s="50" t="n"/>
      <c r="M670" s="67" t="n"/>
      <c r="N670" s="30" t="n"/>
      <c r="O670" s="12">
        <f>IF(tb_rechnungen[[#This Row],[Re-Datum]]&gt;0,MONTH(tb_rechnungen[[#This Row],[Re-Datum]]),"")</f>
        <v/>
      </c>
      <c r="P670" s="13">
        <f>IF(tb_rechnungen[[#This Row],[Re-Datum]]&gt;0,YEAR(tb_rechnungen[[#This Row],[Re-Datum]]),"")</f>
        <v/>
      </c>
      <c r="Q670" s="19">
        <f>IF(tb_rechnungen[[#This Row],[Brutto]]&lt;&gt;0,tb_rechnungen[[#This Row],[Brutto]]-tb_rechnungen[[#This Row],[Netto]],"")</f>
        <v/>
      </c>
      <c r="R670" s="37">
        <f>IF(tb_rechnungen[[#This Row],[Netto]]&lt;&gt;0,ROUND(tb_rechnungen[[#This Row],[Steuer]]/tb_rechnungen[[#This Row],[Netto]],2),"")</f>
        <v/>
      </c>
    </row>
    <row r="671">
      <c r="A671" s="26" t="n"/>
      <c r="B671" s="27" t="n"/>
      <c r="C671" s="28" t="n"/>
      <c r="D671" s="28" t="n"/>
      <c r="E671" s="27" t="n"/>
      <c r="F671" s="29" t="n"/>
      <c r="G671" s="29" t="n"/>
      <c r="H671" s="30" t="n"/>
      <c r="I671" s="30" t="n"/>
      <c r="J671" s="30" t="n"/>
      <c r="K671" s="50" t="n"/>
      <c r="L671" s="50" t="n"/>
      <c r="M671" s="67" t="n"/>
      <c r="N671" s="30" t="n"/>
      <c r="O671" s="12">
        <f>IF(tb_rechnungen[[#This Row],[Re-Datum]]&gt;0,MONTH(tb_rechnungen[[#This Row],[Re-Datum]]),"")</f>
        <v/>
      </c>
      <c r="P671" s="13">
        <f>IF(tb_rechnungen[[#This Row],[Re-Datum]]&gt;0,YEAR(tb_rechnungen[[#This Row],[Re-Datum]]),"")</f>
        <v/>
      </c>
      <c r="Q671" s="19">
        <f>IF(tb_rechnungen[[#This Row],[Brutto]]&lt;&gt;0,tb_rechnungen[[#This Row],[Brutto]]-tb_rechnungen[[#This Row],[Netto]],"")</f>
        <v/>
      </c>
      <c r="R671" s="37">
        <f>IF(tb_rechnungen[[#This Row],[Netto]]&lt;&gt;0,ROUND(tb_rechnungen[[#This Row],[Steuer]]/tb_rechnungen[[#This Row],[Netto]],2),"")</f>
        <v/>
      </c>
    </row>
    <row r="672">
      <c r="A672" s="26" t="n"/>
      <c r="B672" s="27" t="n"/>
      <c r="C672" s="28" t="n"/>
      <c r="D672" s="28" t="n"/>
      <c r="E672" s="27" t="n"/>
      <c r="F672" s="29" t="n"/>
      <c r="G672" s="29" t="n"/>
      <c r="H672" s="30" t="n"/>
      <c r="I672" s="30" t="n"/>
      <c r="J672" s="30" t="n"/>
      <c r="K672" s="50" t="n"/>
      <c r="L672" s="50" t="n"/>
      <c r="M672" s="67" t="n"/>
      <c r="N672" s="30" t="n"/>
      <c r="O672" s="12">
        <f>IF(tb_rechnungen[[#This Row],[Re-Datum]]&gt;0,MONTH(tb_rechnungen[[#This Row],[Re-Datum]]),"")</f>
        <v/>
      </c>
      <c r="P672" s="13">
        <f>IF(tb_rechnungen[[#This Row],[Re-Datum]]&gt;0,YEAR(tb_rechnungen[[#This Row],[Re-Datum]]),"")</f>
        <v/>
      </c>
      <c r="Q672" s="19">
        <f>IF(tb_rechnungen[[#This Row],[Brutto]]&lt;&gt;0,tb_rechnungen[[#This Row],[Brutto]]-tb_rechnungen[[#This Row],[Netto]],"")</f>
        <v/>
      </c>
      <c r="R672" s="37">
        <f>IF(tb_rechnungen[[#This Row],[Netto]]&lt;&gt;0,ROUND(tb_rechnungen[[#This Row],[Steuer]]/tb_rechnungen[[#This Row],[Netto]],2),"")</f>
        <v/>
      </c>
    </row>
    <row r="673">
      <c r="A673" s="26" t="n"/>
      <c r="B673" s="27" t="n"/>
      <c r="C673" s="28" t="n"/>
      <c r="D673" s="28" t="n"/>
      <c r="E673" s="27" t="n"/>
      <c r="F673" s="29" t="n"/>
      <c r="G673" s="29" t="n"/>
      <c r="H673" s="30" t="n"/>
      <c r="I673" s="30" t="n"/>
      <c r="J673" s="30" t="n"/>
      <c r="K673" s="50" t="n"/>
      <c r="L673" s="50" t="n"/>
      <c r="M673" s="67" t="n"/>
      <c r="N673" s="30" t="n"/>
      <c r="O673" s="12">
        <f>IF(tb_rechnungen[[#This Row],[Re-Datum]]&gt;0,MONTH(tb_rechnungen[[#This Row],[Re-Datum]]),"")</f>
        <v/>
      </c>
      <c r="P673" s="13">
        <f>IF(tb_rechnungen[[#This Row],[Re-Datum]]&gt;0,YEAR(tb_rechnungen[[#This Row],[Re-Datum]]),"")</f>
        <v/>
      </c>
      <c r="Q673" s="19">
        <f>IF(tb_rechnungen[[#This Row],[Brutto]]&lt;&gt;0,tb_rechnungen[[#This Row],[Brutto]]-tb_rechnungen[[#This Row],[Netto]],"")</f>
        <v/>
      </c>
      <c r="R673" s="37">
        <f>IF(tb_rechnungen[[#This Row],[Netto]]&lt;&gt;0,ROUND(tb_rechnungen[[#This Row],[Steuer]]/tb_rechnungen[[#This Row],[Netto]],2),"")</f>
        <v/>
      </c>
    </row>
    <row r="674">
      <c r="A674" s="26" t="n"/>
      <c r="B674" s="27" t="n"/>
      <c r="C674" s="28" t="n"/>
      <c r="D674" s="28" t="n"/>
      <c r="E674" s="27" t="n"/>
      <c r="F674" s="29" t="n"/>
      <c r="G674" s="29" t="n"/>
      <c r="H674" s="30" t="n"/>
      <c r="I674" s="30" t="n"/>
      <c r="J674" s="30" t="n"/>
      <c r="K674" s="50" t="n"/>
      <c r="L674" s="50" t="n"/>
      <c r="M674" s="67" t="n"/>
      <c r="N674" s="30" t="n"/>
      <c r="O674" s="12">
        <f>IF(tb_rechnungen[[#This Row],[Re-Datum]]&gt;0,MONTH(tb_rechnungen[[#This Row],[Re-Datum]]),"")</f>
        <v/>
      </c>
      <c r="P674" s="13">
        <f>IF(tb_rechnungen[[#This Row],[Re-Datum]]&gt;0,YEAR(tb_rechnungen[[#This Row],[Re-Datum]]),"")</f>
        <v/>
      </c>
      <c r="Q674" s="19">
        <f>IF(tb_rechnungen[[#This Row],[Brutto]]&lt;&gt;0,tb_rechnungen[[#This Row],[Brutto]]-tb_rechnungen[[#This Row],[Netto]],"")</f>
        <v/>
      </c>
      <c r="R674" s="37">
        <f>IF(tb_rechnungen[[#This Row],[Netto]]&lt;&gt;0,ROUND(tb_rechnungen[[#This Row],[Steuer]]/tb_rechnungen[[#This Row],[Netto]],2),"")</f>
        <v/>
      </c>
    </row>
    <row r="675">
      <c r="A675" s="26" t="n"/>
      <c r="B675" s="27" t="n"/>
      <c r="C675" s="28" t="n"/>
      <c r="D675" s="28" t="n"/>
      <c r="E675" s="27" t="n"/>
      <c r="F675" s="29" t="n"/>
      <c r="G675" s="29" t="n"/>
      <c r="H675" s="30" t="n"/>
      <c r="I675" s="30" t="n"/>
      <c r="J675" s="30" t="n"/>
      <c r="K675" s="50" t="n"/>
      <c r="L675" s="50" t="n"/>
      <c r="M675" s="67" t="n"/>
      <c r="N675" s="30" t="n"/>
      <c r="O675" s="12">
        <f>IF(tb_rechnungen[[#This Row],[Re-Datum]]&gt;0,MONTH(tb_rechnungen[[#This Row],[Re-Datum]]),"")</f>
        <v/>
      </c>
      <c r="P675" s="13">
        <f>IF(tb_rechnungen[[#This Row],[Re-Datum]]&gt;0,YEAR(tb_rechnungen[[#This Row],[Re-Datum]]),"")</f>
        <v/>
      </c>
      <c r="Q675" s="19">
        <f>IF(tb_rechnungen[[#This Row],[Brutto]]&lt;&gt;0,tb_rechnungen[[#This Row],[Brutto]]-tb_rechnungen[[#This Row],[Netto]],"")</f>
        <v/>
      </c>
      <c r="R675" s="37">
        <f>IF(tb_rechnungen[[#This Row],[Netto]]&lt;&gt;0,ROUND(tb_rechnungen[[#This Row],[Steuer]]/tb_rechnungen[[#This Row],[Netto]],2),"")</f>
        <v/>
      </c>
    </row>
    <row r="676">
      <c r="A676" s="26" t="n"/>
      <c r="B676" s="27" t="n"/>
      <c r="C676" s="28" t="n"/>
      <c r="D676" s="28" t="n"/>
      <c r="E676" s="27" t="n"/>
      <c r="F676" s="29" t="n"/>
      <c r="G676" s="29" t="n"/>
      <c r="H676" s="30" t="n"/>
      <c r="I676" s="30" t="n"/>
      <c r="J676" s="30" t="n"/>
      <c r="K676" s="50" t="n"/>
      <c r="L676" s="50" t="n"/>
      <c r="M676" s="67" t="n"/>
      <c r="N676" s="30" t="n"/>
      <c r="O676" s="12">
        <f>IF(tb_rechnungen[[#This Row],[Re-Datum]]&gt;0,MONTH(tb_rechnungen[[#This Row],[Re-Datum]]),"")</f>
        <v/>
      </c>
      <c r="P676" s="13">
        <f>IF(tb_rechnungen[[#This Row],[Re-Datum]]&gt;0,YEAR(tb_rechnungen[[#This Row],[Re-Datum]]),"")</f>
        <v/>
      </c>
      <c r="Q676" s="19">
        <f>IF(tb_rechnungen[[#This Row],[Brutto]]&lt;&gt;0,tb_rechnungen[[#This Row],[Brutto]]-tb_rechnungen[[#This Row],[Netto]],"")</f>
        <v/>
      </c>
      <c r="R676" s="37">
        <f>IF(tb_rechnungen[[#This Row],[Netto]]&lt;&gt;0,ROUND(tb_rechnungen[[#This Row],[Steuer]]/tb_rechnungen[[#This Row],[Netto]],2),"")</f>
        <v/>
      </c>
    </row>
    <row r="677">
      <c r="A677" s="26" t="n"/>
      <c r="B677" s="27" t="n"/>
      <c r="C677" s="28" t="n"/>
      <c r="D677" s="28" t="n"/>
      <c r="E677" s="27" t="n"/>
      <c r="F677" s="29" t="n"/>
      <c r="G677" s="29" t="n"/>
      <c r="H677" s="30" t="n"/>
      <c r="I677" s="30" t="n"/>
      <c r="J677" s="30" t="n"/>
      <c r="K677" s="50" t="n"/>
      <c r="L677" s="50" t="n"/>
      <c r="M677" s="67" t="n"/>
      <c r="N677" s="30" t="n"/>
      <c r="O677" s="12">
        <f>IF(tb_rechnungen[[#This Row],[Re-Datum]]&gt;0,MONTH(tb_rechnungen[[#This Row],[Re-Datum]]),"")</f>
        <v/>
      </c>
      <c r="P677" s="13">
        <f>IF(tb_rechnungen[[#This Row],[Re-Datum]]&gt;0,YEAR(tb_rechnungen[[#This Row],[Re-Datum]]),"")</f>
        <v/>
      </c>
      <c r="Q677" s="19">
        <f>IF(tb_rechnungen[[#This Row],[Brutto]]&lt;&gt;0,tb_rechnungen[[#This Row],[Brutto]]-tb_rechnungen[[#This Row],[Netto]],"")</f>
        <v/>
      </c>
      <c r="R677" s="37">
        <f>IF(tb_rechnungen[[#This Row],[Netto]]&lt;&gt;0,ROUND(tb_rechnungen[[#This Row],[Steuer]]/tb_rechnungen[[#This Row],[Netto]],2),"")</f>
        <v/>
      </c>
    </row>
    <row r="678">
      <c r="A678" s="26" t="n"/>
      <c r="B678" s="27" t="n"/>
      <c r="C678" s="28" t="n"/>
      <c r="D678" s="28" t="n"/>
      <c r="E678" s="27" t="n"/>
      <c r="F678" s="29" t="n"/>
      <c r="G678" s="29" t="n"/>
      <c r="H678" s="30" t="n"/>
      <c r="I678" s="30" t="n"/>
      <c r="J678" s="30" t="n"/>
      <c r="K678" s="50" t="n"/>
      <c r="L678" s="50" t="n"/>
      <c r="M678" s="67" t="n"/>
      <c r="N678" s="30" t="n"/>
      <c r="O678" s="12">
        <f>IF(tb_rechnungen[[#This Row],[Re-Datum]]&gt;0,MONTH(tb_rechnungen[[#This Row],[Re-Datum]]),"")</f>
        <v/>
      </c>
      <c r="P678" s="13">
        <f>IF(tb_rechnungen[[#This Row],[Re-Datum]]&gt;0,YEAR(tb_rechnungen[[#This Row],[Re-Datum]]),"")</f>
        <v/>
      </c>
      <c r="Q678" s="19">
        <f>IF(tb_rechnungen[[#This Row],[Brutto]]&lt;&gt;0,tb_rechnungen[[#This Row],[Brutto]]-tb_rechnungen[[#This Row],[Netto]],"")</f>
        <v/>
      </c>
      <c r="R678" s="37">
        <f>IF(tb_rechnungen[[#This Row],[Netto]]&lt;&gt;0,ROUND(tb_rechnungen[[#This Row],[Steuer]]/tb_rechnungen[[#This Row],[Netto]],2),"")</f>
        <v/>
      </c>
    </row>
    <row r="679">
      <c r="A679" s="26" t="n"/>
      <c r="B679" s="27" t="n"/>
      <c r="C679" s="28" t="n"/>
      <c r="D679" s="28" t="n"/>
      <c r="E679" s="27" t="n"/>
      <c r="F679" s="29" t="n"/>
      <c r="G679" s="29" t="n"/>
      <c r="H679" s="30" t="n"/>
      <c r="I679" s="30" t="n"/>
      <c r="J679" s="30" t="n"/>
      <c r="K679" s="50" t="n"/>
      <c r="L679" s="50" t="n"/>
      <c r="M679" s="67" t="n"/>
      <c r="N679" s="30" t="n"/>
      <c r="O679" s="12">
        <f>IF(tb_rechnungen[[#This Row],[Re-Datum]]&gt;0,MONTH(tb_rechnungen[[#This Row],[Re-Datum]]),"")</f>
        <v/>
      </c>
      <c r="P679" s="13">
        <f>IF(tb_rechnungen[[#This Row],[Re-Datum]]&gt;0,YEAR(tb_rechnungen[[#This Row],[Re-Datum]]),"")</f>
        <v/>
      </c>
      <c r="Q679" s="19">
        <f>IF(tb_rechnungen[[#This Row],[Brutto]]&lt;&gt;0,tb_rechnungen[[#This Row],[Brutto]]-tb_rechnungen[[#This Row],[Netto]],"")</f>
        <v/>
      </c>
      <c r="R679" s="37">
        <f>IF(tb_rechnungen[[#This Row],[Netto]]&lt;&gt;0,ROUND(tb_rechnungen[[#This Row],[Steuer]]/tb_rechnungen[[#This Row],[Netto]],2),"")</f>
        <v/>
      </c>
    </row>
    <row r="680">
      <c r="A680" s="26" t="n"/>
      <c r="B680" s="27" t="n"/>
      <c r="C680" s="28" t="n"/>
      <c r="D680" s="28" t="n"/>
      <c r="E680" s="27" t="n"/>
      <c r="F680" s="29" t="n"/>
      <c r="G680" s="29" t="n"/>
      <c r="H680" s="30" t="n"/>
      <c r="I680" s="30" t="n"/>
      <c r="J680" s="30" t="n"/>
      <c r="K680" s="50" t="n"/>
      <c r="L680" s="50" t="n"/>
      <c r="M680" s="67" t="n"/>
      <c r="N680" s="30" t="n"/>
      <c r="O680" s="12">
        <f>IF(tb_rechnungen[[#This Row],[Re-Datum]]&gt;0,MONTH(tb_rechnungen[[#This Row],[Re-Datum]]),"")</f>
        <v/>
      </c>
      <c r="P680" s="13">
        <f>IF(tb_rechnungen[[#This Row],[Re-Datum]]&gt;0,YEAR(tb_rechnungen[[#This Row],[Re-Datum]]),"")</f>
        <v/>
      </c>
      <c r="Q680" s="19">
        <f>IF(tb_rechnungen[[#This Row],[Brutto]]&lt;&gt;0,tb_rechnungen[[#This Row],[Brutto]]-tb_rechnungen[[#This Row],[Netto]],"")</f>
        <v/>
      </c>
      <c r="R680" s="37">
        <f>IF(tb_rechnungen[[#This Row],[Netto]]&lt;&gt;0,ROUND(tb_rechnungen[[#This Row],[Steuer]]/tb_rechnungen[[#This Row],[Netto]],2),"")</f>
        <v/>
      </c>
    </row>
    <row r="681">
      <c r="A681" s="26" t="n"/>
      <c r="B681" s="27" t="n"/>
      <c r="C681" s="28" t="n"/>
      <c r="D681" s="28" t="n"/>
      <c r="E681" s="27" t="n"/>
      <c r="F681" s="29" t="n"/>
      <c r="G681" s="29" t="n"/>
      <c r="H681" s="30" t="n"/>
      <c r="I681" s="30" t="n"/>
      <c r="J681" s="30" t="n"/>
      <c r="K681" s="50" t="n"/>
      <c r="L681" s="50" t="n"/>
      <c r="M681" s="67" t="n"/>
      <c r="N681" s="30" t="n"/>
      <c r="O681" s="12">
        <f>IF(tb_rechnungen[[#This Row],[Re-Datum]]&gt;0,MONTH(tb_rechnungen[[#This Row],[Re-Datum]]),"")</f>
        <v/>
      </c>
      <c r="P681" s="13">
        <f>IF(tb_rechnungen[[#This Row],[Re-Datum]]&gt;0,YEAR(tb_rechnungen[[#This Row],[Re-Datum]]),"")</f>
        <v/>
      </c>
      <c r="Q681" s="19">
        <f>IF(tb_rechnungen[[#This Row],[Brutto]]&lt;&gt;0,tb_rechnungen[[#This Row],[Brutto]]-tb_rechnungen[[#This Row],[Netto]],"")</f>
        <v/>
      </c>
      <c r="R681" s="37">
        <f>IF(tb_rechnungen[[#This Row],[Netto]]&lt;&gt;0,ROUND(tb_rechnungen[[#This Row],[Steuer]]/tb_rechnungen[[#This Row],[Netto]],2),"")</f>
        <v/>
      </c>
    </row>
    <row r="682">
      <c r="A682" s="26" t="n"/>
      <c r="B682" s="27" t="n"/>
      <c r="C682" s="28" t="n"/>
      <c r="D682" s="28" t="n"/>
      <c r="E682" s="27" t="n"/>
      <c r="F682" s="29" t="n"/>
      <c r="G682" s="29" t="n"/>
      <c r="H682" s="30" t="n"/>
      <c r="I682" s="30" t="n"/>
      <c r="J682" s="30" t="n"/>
      <c r="K682" s="50" t="n"/>
      <c r="L682" s="50" t="n"/>
      <c r="M682" s="67" t="n"/>
      <c r="N682" s="30" t="n"/>
      <c r="O682" s="12">
        <f>IF(tb_rechnungen[[#This Row],[Re-Datum]]&gt;0,MONTH(tb_rechnungen[[#This Row],[Re-Datum]]),"")</f>
        <v/>
      </c>
      <c r="P682" s="13">
        <f>IF(tb_rechnungen[[#This Row],[Re-Datum]]&gt;0,YEAR(tb_rechnungen[[#This Row],[Re-Datum]]),"")</f>
        <v/>
      </c>
      <c r="Q682" s="19">
        <f>IF(tb_rechnungen[[#This Row],[Brutto]]&lt;&gt;0,tb_rechnungen[[#This Row],[Brutto]]-tb_rechnungen[[#This Row],[Netto]],"")</f>
        <v/>
      </c>
      <c r="R682" s="37">
        <f>IF(tb_rechnungen[[#This Row],[Netto]]&lt;&gt;0,ROUND(tb_rechnungen[[#This Row],[Steuer]]/tb_rechnungen[[#This Row],[Netto]],2),"")</f>
        <v/>
      </c>
    </row>
    <row r="683">
      <c r="A683" s="26" t="n"/>
      <c r="B683" s="27" t="n"/>
      <c r="C683" s="28" t="n"/>
      <c r="D683" s="28" t="n"/>
      <c r="E683" s="27" t="n"/>
      <c r="F683" s="29" t="n"/>
      <c r="G683" s="29" t="n"/>
      <c r="H683" s="30" t="n"/>
      <c r="I683" s="30" t="n"/>
      <c r="J683" s="30" t="n"/>
      <c r="K683" s="50" t="n"/>
      <c r="L683" s="50" t="n"/>
      <c r="M683" s="67" t="n"/>
      <c r="N683" s="30" t="n"/>
      <c r="O683" s="12">
        <f>IF(tb_rechnungen[[#This Row],[Re-Datum]]&gt;0,MONTH(tb_rechnungen[[#This Row],[Re-Datum]]),"")</f>
        <v/>
      </c>
      <c r="P683" s="13">
        <f>IF(tb_rechnungen[[#This Row],[Re-Datum]]&gt;0,YEAR(tb_rechnungen[[#This Row],[Re-Datum]]),"")</f>
        <v/>
      </c>
      <c r="Q683" s="19">
        <f>IF(tb_rechnungen[[#This Row],[Brutto]]&lt;&gt;0,tb_rechnungen[[#This Row],[Brutto]]-tb_rechnungen[[#This Row],[Netto]],"")</f>
        <v/>
      </c>
      <c r="R683" s="37">
        <f>IF(tb_rechnungen[[#This Row],[Netto]]&lt;&gt;0,ROUND(tb_rechnungen[[#This Row],[Steuer]]/tb_rechnungen[[#This Row],[Netto]],2),"")</f>
        <v/>
      </c>
    </row>
    <row r="684">
      <c r="A684" s="26" t="n"/>
      <c r="B684" s="27" t="n"/>
      <c r="C684" s="28" t="n"/>
      <c r="D684" s="28" t="n"/>
      <c r="E684" s="27" t="n"/>
      <c r="F684" s="29" t="n"/>
      <c r="G684" s="29" t="n"/>
      <c r="H684" s="30" t="n"/>
      <c r="I684" s="30" t="n"/>
      <c r="J684" s="30" t="n"/>
      <c r="K684" s="50" t="n"/>
      <c r="L684" s="50" t="n"/>
      <c r="M684" s="67" t="n"/>
      <c r="N684" s="30" t="n"/>
      <c r="O684" s="12">
        <f>IF(tb_rechnungen[[#This Row],[Re-Datum]]&gt;0,MONTH(tb_rechnungen[[#This Row],[Re-Datum]]),"")</f>
        <v/>
      </c>
      <c r="P684" s="13">
        <f>IF(tb_rechnungen[[#This Row],[Re-Datum]]&gt;0,YEAR(tb_rechnungen[[#This Row],[Re-Datum]]),"")</f>
        <v/>
      </c>
      <c r="Q684" s="19">
        <f>IF(tb_rechnungen[[#This Row],[Brutto]]&lt;&gt;0,tb_rechnungen[[#This Row],[Brutto]]-tb_rechnungen[[#This Row],[Netto]],"")</f>
        <v/>
      </c>
      <c r="R684" s="37">
        <f>IF(tb_rechnungen[[#This Row],[Netto]]&lt;&gt;0,ROUND(tb_rechnungen[[#This Row],[Steuer]]/tb_rechnungen[[#This Row],[Netto]],2),"")</f>
        <v/>
      </c>
    </row>
    <row r="685">
      <c r="A685" s="26" t="n"/>
      <c r="B685" s="27" t="n"/>
      <c r="C685" s="28" t="n"/>
      <c r="D685" s="28" t="n"/>
      <c r="E685" s="27" t="n"/>
      <c r="F685" s="29" t="n"/>
      <c r="G685" s="29" t="n"/>
      <c r="H685" s="30" t="n"/>
      <c r="I685" s="30" t="n"/>
      <c r="J685" s="30" t="n"/>
      <c r="K685" s="50" t="n"/>
      <c r="L685" s="50" t="n"/>
      <c r="M685" s="67" t="n"/>
      <c r="N685" s="30" t="n"/>
      <c r="O685" s="12">
        <f>IF(tb_rechnungen[[#This Row],[Re-Datum]]&gt;0,MONTH(tb_rechnungen[[#This Row],[Re-Datum]]),"")</f>
        <v/>
      </c>
      <c r="P685" s="13">
        <f>IF(tb_rechnungen[[#This Row],[Re-Datum]]&gt;0,YEAR(tb_rechnungen[[#This Row],[Re-Datum]]),"")</f>
        <v/>
      </c>
      <c r="Q685" s="19">
        <f>IF(tb_rechnungen[[#This Row],[Brutto]]&lt;&gt;0,tb_rechnungen[[#This Row],[Brutto]]-tb_rechnungen[[#This Row],[Netto]],"")</f>
        <v/>
      </c>
      <c r="R685" s="37">
        <f>IF(tb_rechnungen[[#This Row],[Netto]]&lt;&gt;0,ROUND(tb_rechnungen[[#This Row],[Steuer]]/tb_rechnungen[[#This Row],[Netto]],2),"")</f>
        <v/>
      </c>
    </row>
    <row r="686">
      <c r="A686" s="26" t="n"/>
      <c r="B686" s="27" t="n"/>
      <c r="C686" s="28" t="n"/>
      <c r="D686" s="28" t="n"/>
      <c r="E686" s="27" t="n"/>
      <c r="F686" s="29" t="n"/>
      <c r="G686" s="29" t="n"/>
      <c r="H686" s="30" t="n"/>
      <c r="I686" s="30" t="n"/>
      <c r="J686" s="30" t="n"/>
      <c r="K686" s="50" t="n"/>
      <c r="L686" s="50" t="n"/>
      <c r="M686" s="67" t="n"/>
      <c r="N686" s="30" t="n"/>
      <c r="O686" s="12">
        <f>IF(tb_rechnungen[[#This Row],[Re-Datum]]&gt;0,MONTH(tb_rechnungen[[#This Row],[Re-Datum]]),"")</f>
        <v/>
      </c>
      <c r="P686" s="13">
        <f>IF(tb_rechnungen[[#This Row],[Re-Datum]]&gt;0,YEAR(tb_rechnungen[[#This Row],[Re-Datum]]),"")</f>
        <v/>
      </c>
      <c r="Q686" s="19">
        <f>IF(tb_rechnungen[[#This Row],[Brutto]]&lt;&gt;0,tb_rechnungen[[#This Row],[Brutto]]-tb_rechnungen[[#This Row],[Netto]],"")</f>
        <v/>
      </c>
      <c r="R686" s="37">
        <f>IF(tb_rechnungen[[#This Row],[Netto]]&lt;&gt;0,ROUND(tb_rechnungen[[#This Row],[Steuer]]/tb_rechnungen[[#This Row],[Netto]],2),"")</f>
        <v/>
      </c>
    </row>
    <row r="687">
      <c r="A687" s="26" t="n"/>
      <c r="B687" s="27" t="n"/>
      <c r="C687" s="28" t="n"/>
      <c r="D687" s="28" t="n"/>
      <c r="E687" s="27" t="n"/>
      <c r="F687" s="29" t="n"/>
      <c r="G687" s="29" t="n"/>
      <c r="H687" s="30" t="n"/>
      <c r="I687" s="30" t="n"/>
      <c r="J687" s="30" t="n"/>
      <c r="K687" s="50" t="n"/>
      <c r="L687" s="50" t="n"/>
      <c r="M687" s="67" t="n"/>
      <c r="N687" s="30" t="n"/>
      <c r="O687" s="12">
        <f>IF(tb_rechnungen[[#This Row],[Re-Datum]]&gt;0,MONTH(tb_rechnungen[[#This Row],[Re-Datum]]),"")</f>
        <v/>
      </c>
      <c r="P687" s="13">
        <f>IF(tb_rechnungen[[#This Row],[Re-Datum]]&gt;0,YEAR(tb_rechnungen[[#This Row],[Re-Datum]]),"")</f>
        <v/>
      </c>
      <c r="Q687" s="19">
        <f>IF(tb_rechnungen[[#This Row],[Brutto]]&lt;&gt;0,tb_rechnungen[[#This Row],[Brutto]]-tb_rechnungen[[#This Row],[Netto]],"")</f>
        <v/>
      </c>
      <c r="R687" s="37">
        <f>IF(tb_rechnungen[[#This Row],[Netto]]&lt;&gt;0,ROUND(tb_rechnungen[[#This Row],[Steuer]]/tb_rechnungen[[#This Row],[Netto]],2),"")</f>
        <v/>
      </c>
    </row>
    <row r="688">
      <c r="A688" s="26" t="n"/>
      <c r="B688" s="27" t="n"/>
      <c r="C688" s="28" t="n"/>
      <c r="D688" s="28" t="n"/>
      <c r="E688" s="27" t="n"/>
      <c r="F688" s="29" t="n"/>
      <c r="G688" s="29" t="n"/>
      <c r="H688" s="30" t="n"/>
      <c r="I688" s="30" t="n"/>
      <c r="J688" s="30" t="n"/>
      <c r="K688" s="50" t="n"/>
      <c r="L688" s="50" t="n"/>
      <c r="M688" s="67" t="n"/>
      <c r="N688" s="30" t="n"/>
      <c r="O688" s="12">
        <f>IF(tb_rechnungen[[#This Row],[Re-Datum]]&gt;0,MONTH(tb_rechnungen[[#This Row],[Re-Datum]]),"")</f>
        <v/>
      </c>
      <c r="P688" s="13">
        <f>IF(tb_rechnungen[[#This Row],[Re-Datum]]&gt;0,YEAR(tb_rechnungen[[#This Row],[Re-Datum]]),"")</f>
        <v/>
      </c>
      <c r="Q688" s="19">
        <f>IF(tb_rechnungen[[#This Row],[Brutto]]&lt;&gt;0,tb_rechnungen[[#This Row],[Brutto]]-tb_rechnungen[[#This Row],[Netto]],"")</f>
        <v/>
      </c>
      <c r="R688" s="37">
        <f>IF(tb_rechnungen[[#This Row],[Netto]]&lt;&gt;0,ROUND(tb_rechnungen[[#This Row],[Steuer]]/tb_rechnungen[[#This Row],[Netto]],2),"")</f>
        <v/>
      </c>
    </row>
    <row r="689">
      <c r="A689" s="26" t="n"/>
      <c r="B689" s="27" t="n"/>
      <c r="C689" s="28" t="n"/>
      <c r="D689" s="28" t="n"/>
      <c r="E689" s="27" t="n"/>
      <c r="F689" s="29" t="n"/>
      <c r="G689" s="29" t="n"/>
      <c r="H689" s="30" t="n"/>
      <c r="I689" s="30" t="n"/>
      <c r="J689" s="30" t="n"/>
      <c r="K689" s="50" t="n"/>
      <c r="L689" s="50" t="n"/>
      <c r="M689" s="67" t="n"/>
      <c r="N689" s="30" t="n"/>
      <c r="O689" s="12">
        <f>IF(tb_rechnungen[[#This Row],[Re-Datum]]&gt;0,MONTH(tb_rechnungen[[#This Row],[Re-Datum]]),"")</f>
        <v/>
      </c>
      <c r="P689" s="13">
        <f>IF(tb_rechnungen[[#This Row],[Re-Datum]]&gt;0,YEAR(tb_rechnungen[[#This Row],[Re-Datum]]),"")</f>
        <v/>
      </c>
      <c r="Q689" s="19">
        <f>IF(tb_rechnungen[[#This Row],[Brutto]]&lt;&gt;0,tb_rechnungen[[#This Row],[Brutto]]-tb_rechnungen[[#This Row],[Netto]],"")</f>
        <v/>
      </c>
      <c r="R689" s="37">
        <f>IF(tb_rechnungen[[#This Row],[Netto]]&lt;&gt;0,ROUND(tb_rechnungen[[#This Row],[Steuer]]/tb_rechnungen[[#This Row],[Netto]],2),"")</f>
        <v/>
      </c>
    </row>
    <row r="690">
      <c r="A690" s="26" t="n"/>
      <c r="B690" s="27" t="n"/>
      <c r="C690" s="28" t="n"/>
      <c r="D690" s="28" t="n"/>
      <c r="E690" s="27" t="n"/>
      <c r="F690" s="29" t="n"/>
      <c r="G690" s="29" t="n"/>
      <c r="H690" s="30" t="n"/>
      <c r="I690" s="30" t="n"/>
      <c r="J690" s="30" t="n"/>
      <c r="K690" s="50" t="n"/>
      <c r="L690" s="50" t="n"/>
      <c r="M690" s="67" t="n"/>
      <c r="N690" s="30" t="n"/>
      <c r="O690" s="12">
        <f>IF(tb_rechnungen[[#This Row],[Re-Datum]]&gt;0,MONTH(tb_rechnungen[[#This Row],[Re-Datum]]),"")</f>
        <v/>
      </c>
      <c r="P690" s="13">
        <f>IF(tb_rechnungen[[#This Row],[Re-Datum]]&gt;0,YEAR(tb_rechnungen[[#This Row],[Re-Datum]]),"")</f>
        <v/>
      </c>
      <c r="Q690" s="19">
        <f>IF(tb_rechnungen[[#This Row],[Brutto]]&lt;&gt;0,tb_rechnungen[[#This Row],[Brutto]]-tb_rechnungen[[#This Row],[Netto]],"")</f>
        <v/>
      </c>
      <c r="R690" s="37">
        <f>IF(tb_rechnungen[[#This Row],[Netto]]&lt;&gt;0,ROUND(tb_rechnungen[[#This Row],[Steuer]]/tb_rechnungen[[#This Row],[Netto]],2),"")</f>
        <v/>
      </c>
    </row>
    <row r="691">
      <c r="A691" s="26" t="n"/>
      <c r="B691" s="27" t="n"/>
      <c r="C691" s="28" t="n"/>
      <c r="D691" s="28" t="n"/>
      <c r="E691" s="27" t="n"/>
      <c r="F691" s="29" t="n"/>
      <c r="G691" s="29" t="n"/>
      <c r="H691" s="30" t="n"/>
      <c r="I691" s="30" t="n"/>
      <c r="J691" s="30" t="n"/>
      <c r="K691" s="50" t="n"/>
      <c r="L691" s="50" t="n"/>
      <c r="M691" s="67" t="n"/>
      <c r="N691" s="30" t="n"/>
      <c r="O691" s="12">
        <f>IF(tb_rechnungen[[#This Row],[Re-Datum]]&gt;0,MONTH(tb_rechnungen[[#This Row],[Re-Datum]]),"")</f>
        <v/>
      </c>
      <c r="P691" s="13">
        <f>IF(tb_rechnungen[[#This Row],[Re-Datum]]&gt;0,YEAR(tb_rechnungen[[#This Row],[Re-Datum]]),"")</f>
        <v/>
      </c>
      <c r="Q691" s="19">
        <f>IF(tb_rechnungen[[#This Row],[Brutto]]&lt;&gt;0,tb_rechnungen[[#This Row],[Brutto]]-tb_rechnungen[[#This Row],[Netto]],"")</f>
        <v/>
      </c>
      <c r="R691" s="37">
        <f>IF(tb_rechnungen[[#This Row],[Netto]]&lt;&gt;0,ROUND(tb_rechnungen[[#This Row],[Steuer]]/tb_rechnungen[[#This Row],[Netto]],2),"")</f>
        <v/>
      </c>
    </row>
    <row r="692">
      <c r="A692" s="26" t="n"/>
      <c r="B692" s="27" t="n"/>
      <c r="C692" s="28" t="n"/>
      <c r="D692" s="28" t="n"/>
      <c r="E692" s="27" t="n"/>
      <c r="F692" s="29" t="n"/>
      <c r="G692" s="29" t="n"/>
      <c r="H692" s="30" t="n"/>
      <c r="I692" s="30" t="n"/>
      <c r="J692" s="30" t="n"/>
      <c r="K692" s="50" t="n"/>
      <c r="L692" s="50" t="n"/>
      <c r="M692" s="67" t="n"/>
      <c r="N692" s="30" t="n"/>
      <c r="O692" s="12">
        <f>IF(tb_rechnungen[[#This Row],[Re-Datum]]&gt;0,MONTH(tb_rechnungen[[#This Row],[Re-Datum]]),"")</f>
        <v/>
      </c>
      <c r="P692" s="13">
        <f>IF(tb_rechnungen[[#This Row],[Re-Datum]]&gt;0,YEAR(tb_rechnungen[[#This Row],[Re-Datum]]),"")</f>
        <v/>
      </c>
      <c r="Q692" s="19">
        <f>IF(tb_rechnungen[[#This Row],[Brutto]]&lt;&gt;0,tb_rechnungen[[#This Row],[Brutto]]-tb_rechnungen[[#This Row],[Netto]],"")</f>
        <v/>
      </c>
      <c r="R692" s="37">
        <f>IF(tb_rechnungen[[#This Row],[Netto]]&lt;&gt;0,ROUND(tb_rechnungen[[#This Row],[Steuer]]/tb_rechnungen[[#This Row],[Netto]],2),"")</f>
        <v/>
      </c>
    </row>
    <row r="693">
      <c r="A693" s="26" t="n"/>
      <c r="B693" s="27" t="n"/>
      <c r="C693" s="28" t="n"/>
      <c r="D693" s="28" t="n"/>
      <c r="E693" s="27" t="n"/>
      <c r="F693" s="29" t="n"/>
      <c r="G693" s="29" t="n"/>
      <c r="H693" s="30" t="n"/>
      <c r="I693" s="30" t="n"/>
      <c r="J693" s="30" t="n"/>
      <c r="K693" s="50" t="n"/>
      <c r="L693" s="50" t="n"/>
      <c r="M693" s="67" t="n"/>
      <c r="N693" s="30" t="n"/>
      <c r="O693" s="12">
        <f>IF(tb_rechnungen[[#This Row],[Re-Datum]]&gt;0,MONTH(tb_rechnungen[[#This Row],[Re-Datum]]),"")</f>
        <v/>
      </c>
      <c r="P693" s="13">
        <f>IF(tb_rechnungen[[#This Row],[Re-Datum]]&gt;0,YEAR(tb_rechnungen[[#This Row],[Re-Datum]]),"")</f>
        <v/>
      </c>
      <c r="Q693" s="19">
        <f>IF(tb_rechnungen[[#This Row],[Brutto]]&lt;&gt;0,tb_rechnungen[[#This Row],[Brutto]]-tb_rechnungen[[#This Row],[Netto]],"")</f>
        <v/>
      </c>
      <c r="R693" s="37">
        <f>IF(tb_rechnungen[[#This Row],[Netto]]&lt;&gt;0,ROUND(tb_rechnungen[[#This Row],[Steuer]]/tb_rechnungen[[#This Row],[Netto]],2),"")</f>
        <v/>
      </c>
    </row>
    <row r="694">
      <c r="A694" s="26" t="n"/>
      <c r="B694" s="27" t="n"/>
      <c r="C694" s="28" t="n"/>
      <c r="D694" s="28" t="n"/>
      <c r="E694" s="27" t="n"/>
      <c r="F694" s="29" t="n"/>
      <c r="G694" s="29" t="n"/>
      <c r="H694" s="30" t="n"/>
      <c r="I694" s="30" t="n"/>
      <c r="J694" s="30" t="n"/>
      <c r="K694" s="50" t="n"/>
      <c r="L694" s="50" t="n"/>
      <c r="M694" s="67" t="n"/>
      <c r="N694" s="30" t="n"/>
      <c r="O694" s="12">
        <f>IF(tb_rechnungen[[#This Row],[Re-Datum]]&gt;0,MONTH(tb_rechnungen[[#This Row],[Re-Datum]]),"")</f>
        <v/>
      </c>
      <c r="P694" s="13">
        <f>IF(tb_rechnungen[[#This Row],[Re-Datum]]&gt;0,YEAR(tb_rechnungen[[#This Row],[Re-Datum]]),"")</f>
        <v/>
      </c>
      <c r="Q694" s="19">
        <f>IF(tb_rechnungen[[#This Row],[Brutto]]&lt;&gt;0,tb_rechnungen[[#This Row],[Brutto]]-tb_rechnungen[[#This Row],[Netto]],"")</f>
        <v/>
      </c>
      <c r="R694" s="37">
        <f>IF(tb_rechnungen[[#This Row],[Netto]]&lt;&gt;0,ROUND(tb_rechnungen[[#This Row],[Steuer]]/tb_rechnungen[[#This Row],[Netto]],2),"")</f>
        <v/>
      </c>
    </row>
    <row r="695">
      <c r="A695" s="26" t="n"/>
      <c r="B695" s="27" t="n"/>
      <c r="C695" s="28" t="n"/>
      <c r="D695" s="28" t="n"/>
      <c r="E695" s="27" t="n"/>
      <c r="F695" s="29" t="n"/>
      <c r="G695" s="29" t="n"/>
      <c r="H695" s="30" t="n"/>
      <c r="I695" s="30" t="n"/>
      <c r="J695" s="30" t="n"/>
      <c r="K695" s="50" t="n"/>
      <c r="L695" s="50" t="n"/>
      <c r="M695" s="67" t="n"/>
      <c r="N695" s="30" t="n"/>
      <c r="O695" s="12">
        <f>IF(tb_rechnungen[[#This Row],[Re-Datum]]&gt;0,MONTH(tb_rechnungen[[#This Row],[Re-Datum]]),"")</f>
        <v/>
      </c>
      <c r="P695" s="13">
        <f>IF(tb_rechnungen[[#This Row],[Re-Datum]]&gt;0,YEAR(tb_rechnungen[[#This Row],[Re-Datum]]),"")</f>
        <v/>
      </c>
      <c r="Q695" s="19">
        <f>IF(tb_rechnungen[[#This Row],[Brutto]]&lt;&gt;0,tb_rechnungen[[#This Row],[Brutto]]-tb_rechnungen[[#This Row],[Netto]],"")</f>
        <v/>
      </c>
      <c r="R695" s="37">
        <f>IF(tb_rechnungen[[#This Row],[Netto]]&lt;&gt;0,ROUND(tb_rechnungen[[#This Row],[Steuer]]/tb_rechnungen[[#This Row],[Netto]],2),"")</f>
        <v/>
      </c>
    </row>
    <row r="696">
      <c r="A696" s="26" t="n"/>
      <c r="B696" s="27" t="n"/>
      <c r="C696" s="28" t="n"/>
      <c r="D696" s="28" t="n"/>
      <c r="E696" s="27" t="n"/>
      <c r="F696" s="29" t="n"/>
      <c r="G696" s="29" t="n"/>
      <c r="H696" s="30" t="n"/>
      <c r="I696" s="30" t="n"/>
      <c r="J696" s="30" t="n"/>
      <c r="K696" s="50" t="n"/>
      <c r="L696" s="50" t="n"/>
      <c r="M696" s="67" t="n"/>
      <c r="N696" s="30" t="n"/>
      <c r="O696" s="12">
        <f>IF(tb_rechnungen[[#This Row],[Re-Datum]]&gt;0,MONTH(tb_rechnungen[[#This Row],[Re-Datum]]),"")</f>
        <v/>
      </c>
      <c r="P696" s="13">
        <f>IF(tb_rechnungen[[#This Row],[Re-Datum]]&gt;0,YEAR(tb_rechnungen[[#This Row],[Re-Datum]]),"")</f>
        <v/>
      </c>
      <c r="Q696" s="19">
        <f>IF(tb_rechnungen[[#This Row],[Brutto]]&lt;&gt;0,tb_rechnungen[[#This Row],[Brutto]]-tb_rechnungen[[#This Row],[Netto]],"")</f>
        <v/>
      </c>
      <c r="R696" s="37">
        <f>IF(tb_rechnungen[[#This Row],[Netto]]&lt;&gt;0,ROUND(tb_rechnungen[[#This Row],[Steuer]]/tb_rechnungen[[#This Row],[Netto]],2),"")</f>
        <v/>
      </c>
    </row>
    <row r="697">
      <c r="A697" s="26" t="n"/>
      <c r="B697" s="27" t="n"/>
      <c r="C697" s="28" t="n"/>
      <c r="D697" s="28" t="n"/>
      <c r="E697" s="27" t="n"/>
      <c r="F697" s="29" t="n"/>
      <c r="G697" s="29" t="n"/>
      <c r="H697" s="30" t="n"/>
      <c r="I697" s="30" t="n"/>
      <c r="J697" s="30" t="n"/>
      <c r="K697" s="50" t="n"/>
      <c r="L697" s="50" t="n"/>
      <c r="M697" s="67" t="n"/>
      <c r="N697" s="30" t="n"/>
      <c r="O697" s="12">
        <f>IF(tb_rechnungen[[#This Row],[Re-Datum]]&gt;0,MONTH(tb_rechnungen[[#This Row],[Re-Datum]]),"")</f>
        <v/>
      </c>
      <c r="P697" s="13">
        <f>IF(tb_rechnungen[[#This Row],[Re-Datum]]&gt;0,YEAR(tb_rechnungen[[#This Row],[Re-Datum]]),"")</f>
        <v/>
      </c>
      <c r="Q697" s="19">
        <f>IF(tb_rechnungen[[#This Row],[Brutto]]&lt;&gt;0,tb_rechnungen[[#This Row],[Brutto]]-tb_rechnungen[[#This Row],[Netto]],"")</f>
        <v/>
      </c>
      <c r="R697" s="37">
        <f>IF(tb_rechnungen[[#This Row],[Netto]]&lt;&gt;0,ROUND(tb_rechnungen[[#This Row],[Steuer]]/tb_rechnungen[[#This Row],[Netto]],2),"")</f>
        <v/>
      </c>
    </row>
    <row r="698">
      <c r="A698" s="26" t="n"/>
      <c r="B698" s="27" t="n"/>
      <c r="C698" s="28" t="n"/>
      <c r="D698" s="28" t="n"/>
      <c r="E698" s="27" t="n"/>
      <c r="F698" s="29" t="n"/>
      <c r="G698" s="29" t="n"/>
      <c r="H698" s="30" t="n"/>
      <c r="I698" s="30" t="n"/>
      <c r="J698" s="30" t="n"/>
      <c r="K698" s="50" t="n"/>
      <c r="L698" s="50" t="n"/>
      <c r="M698" s="67" t="n"/>
      <c r="N698" s="30" t="n"/>
      <c r="O698" s="12">
        <f>IF(tb_rechnungen[[#This Row],[Re-Datum]]&gt;0,MONTH(tb_rechnungen[[#This Row],[Re-Datum]]),"")</f>
        <v/>
      </c>
      <c r="P698" s="13">
        <f>IF(tb_rechnungen[[#This Row],[Re-Datum]]&gt;0,YEAR(tb_rechnungen[[#This Row],[Re-Datum]]),"")</f>
        <v/>
      </c>
      <c r="Q698" s="19">
        <f>IF(tb_rechnungen[[#This Row],[Brutto]]&lt;&gt;0,tb_rechnungen[[#This Row],[Brutto]]-tb_rechnungen[[#This Row],[Netto]],"")</f>
        <v/>
      </c>
      <c r="R698" s="37">
        <f>IF(tb_rechnungen[[#This Row],[Netto]]&lt;&gt;0,ROUND(tb_rechnungen[[#This Row],[Steuer]]/tb_rechnungen[[#This Row],[Netto]],2),"")</f>
        <v/>
      </c>
    </row>
    <row r="699">
      <c r="A699" s="26" t="n"/>
      <c r="B699" s="27" t="n"/>
      <c r="C699" s="28" t="n"/>
      <c r="D699" s="28" t="n"/>
      <c r="E699" s="27" t="n"/>
      <c r="F699" s="29" t="n"/>
      <c r="G699" s="29" t="n"/>
      <c r="H699" s="30" t="n"/>
      <c r="I699" s="30" t="n"/>
      <c r="J699" s="30" t="n"/>
      <c r="K699" s="50" t="n"/>
      <c r="L699" s="50" t="n"/>
      <c r="M699" s="67" t="n"/>
      <c r="N699" s="30" t="n"/>
      <c r="O699" s="12">
        <f>IF(tb_rechnungen[[#This Row],[Re-Datum]]&gt;0,MONTH(tb_rechnungen[[#This Row],[Re-Datum]]),"")</f>
        <v/>
      </c>
      <c r="P699" s="13">
        <f>IF(tb_rechnungen[[#This Row],[Re-Datum]]&gt;0,YEAR(tb_rechnungen[[#This Row],[Re-Datum]]),"")</f>
        <v/>
      </c>
      <c r="Q699" s="19">
        <f>IF(tb_rechnungen[[#This Row],[Brutto]]&lt;&gt;0,tb_rechnungen[[#This Row],[Brutto]]-tb_rechnungen[[#This Row],[Netto]],"")</f>
        <v/>
      </c>
      <c r="R699" s="37">
        <f>IF(tb_rechnungen[[#This Row],[Netto]]&lt;&gt;0,ROUND(tb_rechnungen[[#This Row],[Steuer]]/tb_rechnungen[[#This Row],[Netto]],2),"")</f>
        <v/>
      </c>
    </row>
    <row r="700">
      <c r="A700" s="26" t="n"/>
      <c r="B700" s="27" t="n"/>
      <c r="C700" s="28" t="n"/>
      <c r="D700" s="28" t="n"/>
      <c r="E700" s="27" t="n"/>
      <c r="F700" s="29" t="n"/>
      <c r="G700" s="29" t="n"/>
      <c r="H700" s="30" t="n"/>
      <c r="I700" s="30" t="n"/>
      <c r="J700" s="30" t="n"/>
      <c r="K700" s="50" t="n"/>
      <c r="L700" s="50" t="n"/>
      <c r="M700" s="67" t="n"/>
      <c r="N700" s="30" t="n"/>
      <c r="O700" s="12">
        <f>IF(tb_rechnungen[[#This Row],[Re-Datum]]&gt;0,MONTH(tb_rechnungen[[#This Row],[Re-Datum]]),"")</f>
        <v/>
      </c>
      <c r="P700" s="13">
        <f>IF(tb_rechnungen[[#This Row],[Re-Datum]]&gt;0,YEAR(tb_rechnungen[[#This Row],[Re-Datum]]),"")</f>
        <v/>
      </c>
      <c r="Q700" s="19">
        <f>IF(tb_rechnungen[[#This Row],[Brutto]]&lt;&gt;0,tb_rechnungen[[#This Row],[Brutto]]-tb_rechnungen[[#This Row],[Netto]],"")</f>
        <v/>
      </c>
      <c r="R700" s="37">
        <f>IF(tb_rechnungen[[#This Row],[Netto]]&lt;&gt;0,ROUND(tb_rechnungen[[#This Row],[Steuer]]/tb_rechnungen[[#This Row],[Netto]],2),"")</f>
        <v/>
      </c>
    </row>
    <row r="701">
      <c r="A701" s="26" t="n"/>
      <c r="B701" s="27" t="n"/>
      <c r="C701" s="28" t="n"/>
      <c r="D701" s="28" t="n"/>
      <c r="E701" s="27" t="n"/>
      <c r="F701" s="29" t="n"/>
      <c r="G701" s="29" t="n"/>
      <c r="H701" s="30" t="n"/>
      <c r="I701" s="30" t="n"/>
      <c r="J701" s="30" t="n"/>
      <c r="K701" s="50" t="n"/>
      <c r="L701" s="50" t="n"/>
      <c r="M701" s="67" t="n"/>
      <c r="N701" s="30" t="n"/>
      <c r="O701" s="12">
        <f>IF(tb_rechnungen[[#This Row],[Re-Datum]]&gt;0,MONTH(tb_rechnungen[[#This Row],[Re-Datum]]),"")</f>
        <v/>
      </c>
      <c r="P701" s="13">
        <f>IF(tb_rechnungen[[#This Row],[Re-Datum]]&gt;0,YEAR(tb_rechnungen[[#This Row],[Re-Datum]]),"")</f>
        <v/>
      </c>
      <c r="Q701" s="19">
        <f>IF(tb_rechnungen[[#This Row],[Brutto]]&lt;&gt;0,tb_rechnungen[[#This Row],[Brutto]]-tb_rechnungen[[#This Row],[Netto]],"")</f>
        <v/>
      </c>
      <c r="R701" s="37">
        <f>IF(tb_rechnungen[[#This Row],[Netto]]&lt;&gt;0,ROUND(tb_rechnungen[[#This Row],[Steuer]]/tb_rechnungen[[#This Row],[Netto]],2),"")</f>
        <v/>
      </c>
    </row>
    <row r="702">
      <c r="A702" s="26" t="n"/>
      <c r="B702" s="27" t="n"/>
      <c r="C702" s="28" t="n"/>
      <c r="D702" s="28" t="n"/>
      <c r="E702" s="27" t="n"/>
      <c r="F702" s="29" t="n"/>
      <c r="G702" s="29" t="n"/>
      <c r="H702" s="30" t="n"/>
      <c r="I702" s="30" t="n"/>
      <c r="J702" s="30" t="n"/>
      <c r="K702" s="50" t="n"/>
      <c r="L702" s="50" t="n"/>
      <c r="M702" s="67" t="n"/>
      <c r="N702" s="30" t="n"/>
      <c r="O702" s="12">
        <f>IF(tb_rechnungen[[#This Row],[Re-Datum]]&gt;0,MONTH(tb_rechnungen[[#This Row],[Re-Datum]]),"")</f>
        <v/>
      </c>
      <c r="P702" s="13">
        <f>IF(tb_rechnungen[[#This Row],[Re-Datum]]&gt;0,YEAR(tb_rechnungen[[#This Row],[Re-Datum]]),"")</f>
        <v/>
      </c>
      <c r="Q702" s="19">
        <f>IF(tb_rechnungen[[#This Row],[Brutto]]&lt;&gt;0,tb_rechnungen[[#This Row],[Brutto]]-tb_rechnungen[[#This Row],[Netto]],"")</f>
        <v/>
      </c>
      <c r="R702" s="37">
        <f>IF(tb_rechnungen[[#This Row],[Netto]]&lt;&gt;0,ROUND(tb_rechnungen[[#This Row],[Steuer]]/tb_rechnungen[[#This Row],[Netto]],2),"")</f>
        <v/>
      </c>
    </row>
    <row r="703">
      <c r="A703" s="26" t="n"/>
      <c r="B703" s="27" t="n"/>
      <c r="C703" s="28" t="n"/>
      <c r="D703" s="28" t="n"/>
      <c r="E703" s="27" t="n"/>
      <c r="F703" s="29" t="n"/>
      <c r="G703" s="29" t="n"/>
      <c r="H703" s="30" t="n"/>
      <c r="I703" s="30" t="n"/>
      <c r="J703" s="30" t="n"/>
      <c r="K703" s="50" t="n"/>
      <c r="L703" s="50" t="n"/>
      <c r="M703" s="67" t="n"/>
      <c r="N703" s="30" t="n"/>
      <c r="O703" s="12">
        <f>IF(tb_rechnungen[[#This Row],[Re-Datum]]&gt;0,MONTH(tb_rechnungen[[#This Row],[Re-Datum]]),"")</f>
        <v/>
      </c>
      <c r="P703" s="13">
        <f>IF(tb_rechnungen[[#This Row],[Re-Datum]]&gt;0,YEAR(tb_rechnungen[[#This Row],[Re-Datum]]),"")</f>
        <v/>
      </c>
      <c r="Q703" s="19">
        <f>IF(tb_rechnungen[[#This Row],[Brutto]]&lt;&gt;0,tb_rechnungen[[#This Row],[Brutto]]-tb_rechnungen[[#This Row],[Netto]],"")</f>
        <v/>
      </c>
      <c r="R703" s="37">
        <f>IF(tb_rechnungen[[#This Row],[Netto]]&lt;&gt;0,ROUND(tb_rechnungen[[#This Row],[Steuer]]/tb_rechnungen[[#This Row],[Netto]],2),"")</f>
        <v/>
      </c>
    </row>
    <row r="704">
      <c r="A704" s="26" t="n"/>
      <c r="B704" s="27" t="n"/>
      <c r="C704" s="28" t="n"/>
      <c r="D704" s="28" t="n"/>
      <c r="E704" s="27" t="n"/>
      <c r="F704" s="29" t="n"/>
      <c r="G704" s="29" t="n"/>
      <c r="H704" s="30" t="n"/>
      <c r="I704" s="30" t="n"/>
      <c r="J704" s="30" t="n"/>
      <c r="K704" s="50" t="n"/>
      <c r="L704" s="50" t="n"/>
      <c r="M704" s="67" t="n"/>
      <c r="N704" s="30" t="n"/>
      <c r="O704" s="12">
        <f>IF(tb_rechnungen[[#This Row],[Re-Datum]]&gt;0,MONTH(tb_rechnungen[[#This Row],[Re-Datum]]),"")</f>
        <v/>
      </c>
      <c r="P704" s="13">
        <f>IF(tb_rechnungen[[#This Row],[Re-Datum]]&gt;0,YEAR(tb_rechnungen[[#This Row],[Re-Datum]]),"")</f>
        <v/>
      </c>
      <c r="Q704" s="19">
        <f>IF(tb_rechnungen[[#This Row],[Brutto]]&lt;&gt;0,tb_rechnungen[[#This Row],[Brutto]]-tb_rechnungen[[#This Row],[Netto]],"")</f>
        <v/>
      </c>
      <c r="R704" s="37">
        <f>IF(tb_rechnungen[[#This Row],[Netto]]&lt;&gt;0,ROUND(tb_rechnungen[[#This Row],[Steuer]]/tb_rechnungen[[#This Row],[Netto]],2),"")</f>
        <v/>
      </c>
    </row>
    <row r="705">
      <c r="A705" s="26" t="n"/>
      <c r="B705" s="27" t="n"/>
      <c r="C705" s="28" t="n"/>
      <c r="D705" s="28" t="n"/>
      <c r="E705" s="27" t="n"/>
      <c r="F705" s="29" t="n"/>
      <c r="G705" s="29" t="n"/>
      <c r="H705" s="30" t="n"/>
      <c r="I705" s="30" t="n"/>
      <c r="J705" s="30" t="n"/>
      <c r="K705" s="50" t="n"/>
      <c r="L705" s="50" t="n"/>
      <c r="M705" s="67" t="n"/>
      <c r="N705" s="30" t="n"/>
      <c r="O705" s="12">
        <f>IF(tb_rechnungen[[#This Row],[Re-Datum]]&gt;0,MONTH(tb_rechnungen[[#This Row],[Re-Datum]]),"")</f>
        <v/>
      </c>
      <c r="P705" s="13">
        <f>IF(tb_rechnungen[[#This Row],[Re-Datum]]&gt;0,YEAR(tb_rechnungen[[#This Row],[Re-Datum]]),"")</f>
        <v/>
      </c>
      <c r="Q705" s="19">
        <f>IF(tb_rechnungen[[#This Row],[Brutto]]&lt;&gt;0,tb_rechnungen[[#This Row],[Brutto]]-tb_rechnungen[[#This Row],[Netto]],"")</f>
        <v/>
      </c>
      <c r="R705" s="37">
        <f>IF(tb_rechnungen[[#This Row],[Netto]]&lt;&gt;0,ROUND(tb_rechnungen[[#This Row],[Steuer]]/tb_rechnungen[[#This Row],[Netto]],2),"")</f>
        <v/>
      </c>
    </row>
    <row r="706">
      <c r="A706" s="26" t="n"/>
      <c r="B706" s="27" t="n"/>
      <c r="C706" s="28" t="n"/>
      <c r="D706" s="28" t="n"/>
      <c r="E706" s="27" t="n"/>
      <c r="F706" s="29" t="n"/>
      <c r="G706" s="29" t="n"/>
      <c r="H706" s="30" t="n"/>
      <c r="I706" s="30" t="n"/>
      <c r="J706" s="30" t="n"/>
      <c r="K706" s="50" t="n"/>
      <c r="L706" s="50" t="n"/>
      <c r="M706" s="67" t="n"/>
      <c r="N706" s="30" t="n"/>
      <c r="O706" s="12">
        <f>IF(tb_rechnungen[[#This Row],[Re-Datum]]&gt;0,MONTH(tb_rechnungen[[#This Row],[Re-Datum]]),"")</f>
        <v/>
      </c>
      <c r="P706" s="13">
        <f>IF(tb_rechnungen[[#This Row],[Re-Datum]]&gt;0,YEAR(tb_rechnungen[[#This Row],[Re-Datum]]),"")</f>
        <v/>
      </c>
      <c r="Q706" s="19">
        <f>IF(tb_rechnungen[[#This Row],[Brutto]]&lt;&gt;0,tb_rechnungen[[#This Row],[Brutto]]-tb_rechnungen[[#This Row],[Netto]],"")</f>
        <v/>
      </c>
      <c r="R706" s="37">
        <f>IF(tb_rechnungen[[#This Row],[Netto]]&lt;&gt;0,ROUND(tb_rechnungen[[#This Row],[Steuer]]/tb_rechnungen[[#This Row],[Netto]],2),"")</f>
        <v/>
      </c>
    </row>
    <row r="707">
      <c r="A707" s="26" t="n"/>
      <c r="B707" s="27" t="n"/>
      <c r="C707" s="28" t="n"/>
      <c r="D707" s="28" t="n"/>
      <c r="E707" s="27" t="n"/>
      <c r="F707" s="29" t="n"/>
      <c r="G707" s="29" t="n"/>
      <c r="H707" s="30" t="n"/>
      <c r="I707" s="30" t="n"/>
      <c r="J707" s="30" t="n"/>
      <c r="K707" s="50" t="n"/>
      <c r="L707" s="50" t="n"/>
      <c r="M707" s="67" t="n"/>
      <c r="N707" s="30" t="n"/>
      <c r="O707" s="12">
        <f>IF(tb_rechnungen[[#This Row],[Re-Datum]]&gt;0,MONTH(tb_rechnungen[[#This Row],[Re-Datum]]),"")</f>
        <v/>
      </c>
      <c r="P707" s="13">
        <f>IF(tb_rechnungen[[#This Row],[Re-Datum]]&gt;0,YEAR(tb_rechnungen[[#This Row],[Re-Datum]]),"")</f>
        <v/>
      </c>
      <c r="Q707" s="19">
        <f>IF(tb_rechnungen[[#This Row],[Brutto]]&lt;&gt;0,tb_rechnungen[[#This Row],[Brutto]]-tb_rechnungen[[#This Row],[Netto]],"")</f>
        <v/>
      </c>
      <c r="R707" s="37">
        <f>IF(tb_rechnungen[[#This Row],[Netto]]&lt;&gt;0,ROUND(tb_rechnungen[[#This Row],[Steuer]]/tb_rechnungen[[#This Row],[Netto]],2),"")</f>
        <v/>
      </c>
    </row>
    <row r="708">
      <c r="A708" s="26" t="n"/>
      <c r="B708" s="27" t="n"/>
      <c r="C708" s="28" t="n"/>
      <c r="D708" s="28" t="n"/>
      <c r="E708" s="27" t="n"/>
      <c r="F708" s="29" t="n"/>
      <c r="G708" s="29" t="n"/>
      <c r="H708" s="30" t="n"/>
      <c r="I708" s="30" t="n"/>
      <c r="J708" s="30" t="n"/>
      <c r="K708" s="50" t="n"/>
      <c r="L708" s="50" t="n"/>
      <c r="M708" s="67" t="n"/>
      <c r="N708" s="30" t="n"/>
      <c r="O708" s="12">
        <f>IF(tb_rechnungen[[#This Row],[Re-Datum]]&gt;0,MONTH(tb_rechnungen[[#This Row],[Re-Datum]]),"")</f>
        <v/>
      </c>
      <c r="P708" s="13">
        <f>IF(tb_rechnungen[[#This Row],[Re-Datum]]&gt;0,YEAR(tb_rechnungen[[#This Row],[Re-Datum]]),"")</f>
        <v/>
      </c>
      <c r="Q708" s="19">
        <f>IF(tb_rechnungen[[#This Row],[Brutto]]&lt;&gt;0,tb_rechnungen[[#This Row],[Brutto]]-tb_rechnungen[[#This Row],[Netto]],"")</f>
        <v/>
      </c>
      <c r="R708" s="37">
        <f>IF(tb_rechnungen[[#This Row],[Netto]]&lt;&gt;0,ROUND(tb_rechnungen[[#This Row],[Steuer]]/tb_rechnungen[[#This Row],[Netto]],2),"")</f>
        <v/>
      </c>
    </row>
    <row r="709">
      <c r="A709" s="26" t="n"/>
      <c r="B709" s="27" t="n"/>
      <c r="C709" s="28" t="n"/>
      <c r="D709" s="28" t="n"/>
      <c r="E709" s="27" t="n"/>
      <c r="F709" s="29" t="n"/>
      <c r="G709" s="29" t="n"/>
      <c r="H709" s="30" t="n"/>
      <c r="I709" s="30" t="n"/>
      <c r="J709" s="30" t="n"/>
      <c r="K709" s="50" t="n"/>
      <c r="L709" s="50" t="n"/>
      <c r="M709" s="67" t="n"/>
      <c r="N709" s="30" t="n"/>
      <c r="O709" s="12">
        <f>IF(tb_rechnungen[[#This Row],[Re-Datum]]&gt;0,MONTH(tb_rechnungen[[#This Row],[Re-Datum]]),"")</f>
        <v/>
      </c>
      <c r="P709" s="13">
        <f>IF(tb_rechnungen[[#This Row],[Re-Datum]]&gt;0,YEAR(tb_rechnungen[[#This Row],[Re-Datum]]),"")</f>
        <v/>
      </c>
      <c r="Q709" s="19">
        <f>IF(tb_rechnungen[[#This Row],[Brutto]]&lt;&gt;0,tb_rechnungen[[#This Row],[Brutto]]-tb_rechnungen[[#This Row],[Netto]],"")</f>
        <v/>
      </c>
      <c r="R709" s="37">
        <f>IF(tb_rechnungen[[#This Row],[Netto]]&lt;&gt;0,ROUND(tb_rechnungen[[#This Row],[Steuer]]/tb_rechnungen[[#This Row],[Netto]],2),"")</f>
        <v/>
      </c>
    </row>
    <row r="710">
      <c r="A710" s="26" t="n"/>
      <c r="B710" s="27" t="n"/>
      <c r="C710" s="28" t="n"/>
      <c r="D710" s="28" t="n"/>
      <c r="E710" s="27" t="n"/>
      <c r="F710" s="29" t="n"/>
      <c r="G710" s="29" t="n"/>
      <c r="H710" s="30" t="n"/>
      <c r="I710" s="30" t="n"/>
      <c r="J710" s="30" t="n"/>
      <c r="K710" s="50" t="n"/>
      <c r="L710" s="50" t="n"/>
      <c r="M710" s="67" t="n"/>
      <c r="N710" s="30" t="n"/>
      <c r="O710" s="12">
        <f>IF(tb_rechnungen[[#This Row],[Re-Datum]]&gt;0,MONTH(tb_rechnungen[[#This Row],[Re-Datum]]),"")</f>
        <v/>
      </c>
      <c r="P710" s="13">
        <f>IF(tb_rechnungen[[#This Row],[Re-Datum]]&gt;0,YEAR(tb_rechnungen[[#This Row],[Re-Datum]]),"")</f>
        <v/>
      </c>
      <c r="Q710" s="19">
        <f>IF(tb_rechnungen[[#This Row],[Brutto]]&lt;&gt;0,tb_rechnungen[[#This Row],[Brutto]]-tb_rechnungen[[#This Row],[Netto]],"")</f>
        <v/>
      </c>
      <c r="R710" s="37">
        <f>IF(tb_rechnungen[[#This Row],[Netto]]&lt;&gt;0,ROUND(tb_rechnungen[[#This Row],[Steuer]]/tb_rechnungen[[#This Row],[Netto]],2),"")</f>
        <v/>
      </c>
    </row>
    <row r="711">
      <c r="A711" s="26" t="n"/>
      <c r="B711" s="27" t="n"/>
      <c r="C711" s="28" t="n"/>
      <c r="D711" s="28" t="n"/>
      <c r="E711" s="27" t="n"/>
      <c r="F711" s="29" t="n"/>
      <c r="G711" s="29" t="n"/>
      <c r="H711" s="30" t="n"/>
      <c r="I711" s="30" t="n"/>
      <c r="J711" s="30" t="n"/>
      <c r="K711" s="50" t="n"/>
      <c r="L711" s="50" t="n"/>
      <c r="M711" s="67" t="n"/>
      <c r="N711" s="30" t="n"/>
      <c r="O711" s="12">
        <f>IF(tb_rechnungen[[#This Row],[Re-Datum]]&gt;0,MONTH(tb_rechnungen[[#This Row],[Re-Datum]]),"")</f>
        <v/>
      </c>
      <c r="P711" s="13">
        <f>IF(tb_rechnungen[[#This Row],[Re-Datum]]&gt;0,YEAR(tb_rechnungen[[#This Row],[Re-Datum]]),"")</f>
        <v/>
      </c>
      <c r="Q711" s="19">
        <f>IF(tb_rechnungen[[#This Row],[Brutto]]&lt;&gt;0,tb_rechnungen[[#This Row],[Brutto]]-tb_rechnungen[[#This Row],[Netto]],"")</f>
        <v/>
      </c>
      <c r="R711" s="37">
        <f>IF(tb_rechnungen[[#This Row],[Netto]]&lt;&gt;0,ROUND(tb_rechnungen[[#This Row],[Steuer]]/tb_rechnungen[[#This Row],[Netto]],2),"")</f>
        <v/>
      </c>
    </row>
    <row r="712">
      <c r="A712" s="26" t="n"/>
      <c r="B712" s="27" t="n"/>
      <c r="C712" s="28" t="n"/>
      <c r="D712" s="28" t="n"/>
      <c r="E712" s="27" t="n"/>
      <c r="F712" s="29" t="n"/>
      <c r="G712" s="29" t="n"/>
      <c r="H712" s="30" t="n"/>
      <c r="I712" s="30" t="n"/>
      <c r="J712" s="30" t="n"/>
      <c r="K712" s="50" t="n"/>
      <c r="L712" s="50" t="n"/>
      <c r="M712" s="67" t="n"/>
      <c r="N712" s="30" t="n"/>
      <c r="O712" s="12">
        <f>IF(tb_rechnungen[[#This Row],[Re-Datum]]&gt;0,MONTH(tb_rechnungen[[#This Row],[Re-Datum]]),"")</f>
        <v/>
      </c>
      <c r="P712" s="13">
        <f>IF(tb_rechnungen[[#This Row],[Re-Datum]]&gt;0,YEAR(tb_rechnungen[[#This Row],[Re-Datum]]),"")</f>
        <v/>
      </c>
      <c r="Q712" s="19">
        <f>IF(tb_rechnungen[[#This Row],[Brutto]]&lt;&gt;0,tb_rechnungen[[#This Row],[Brutto]]-tb_rechnungen[[#This Row],[Netto]],"")</f>
        <v/>
      </c>
      <c r="R712" s="37">
        <f>IF(tb_rechnungen[[#This Row],[Netto]]&lt;&gt;0,ROUND(tb_rechnungen[[#This Row],[Steuer]]/tb_rechnungen[[#This Row],[Netto]],2),"")</f>
        <v/>
      </c>
    </row>
    <row r="713">
      <c r="A713" s="26" t="n"/>
      <c r="B713" s="27" t="n"/>
      <c r="C713" s="28" t="n"/>
      <c r="D713" s="28" t="n"/>
      <c r="E713" s="27" t="n"/>
      <c r="F713" s="29" t="n"/>
      <c r="G713" s="29" t="n"/>
      <c r="H713" s="30" t="n"/>
      <c r="I713" s="30" t="n"/>
      <c r="J713" s="30" t="n"/>
      <c r="K713" s="50" t="n"/>
      <c r="L713" s="50" t="n"/>
      <c r="M713" s="67" t="n"/>
      <c r="N713" s="30" t="n"/>
      <c r="O713" s="12">
        <f>IF(tb_rechnungen[[#This Row],[Re-Datum]]&gt;0,MONTH(tb_rechnungen[[#This Row],[Re-Datum]]),"")</f>
        <v/>
      </c>
      <c r="P713" s="13">
        <f>IF(tb_rechnungen[[#This Row],[Re-Datum]]&gt;0,YEAR(tb_rechnungen[[#This Row],[Re-Datum]]),"")</f>
        <v/>
      </c>
      <c r="Q713" s="19">
        <f>IF(tb_rechnungen[[#This Row],[Brutto]]&lt;&gt;0,tb_rechnungen[[#This Row],[Brutto]]-tb_rechnungen[[#This Row],[Netto]],"")</f>
        <v/>
      </c>
      <c r="R713" s="37">
        <f>IF(tb_rechnungen[[#This Row],[Netto]]&lt;&gt;0,ROUND(tb_rechnungen[[#This Row],[Steuer]]/tb_rechnungen[[#This Row],[Netto]],2),"")</f>
        <v/>
      </c>
    </row>
    <row r="714">
      <c r="A714" s="26" t="n"/>
      <c r="B714" s="27" t="n"/>
      <c r="C714" s="28" t="n"/>
      <c r="D714" s="28" t="n"/>
      <c r="E714" s="27" t="n"/>
      <c r="F714" s="29" t="n"/>
      <c r="G714" s="29" t="n"/>
      <c r="H714" s="30" t="n"/>
      <c r="I714" s="30" t="n"/>
      <c r="J714" s="30" t="n"/>
      <c r="K714" s="50" t="n"/>
      <c r="L714" s="50" t="n"/>
      <c r="M714" s="67" t="n"/>
      <c r="N714" s="30" t="n"/>
      <c r="O714" s="12">
        <f>IF(tb_rechnungen[[#This Row],[Re-Datum]]&gt;0,MONTH(tb_rechnungen[[#This Row],[Re-Datum]]),"")</f>
        <v/>
      </c>
      <c r="P714" s="13">
        <f>IF(tb_rechnungen[[#This Row],[Re-Datum]]&gt;0,YEAR(tb_rechnungen[[#This Row],[Re-Datum]]),"")</f>
        <v/>
      </c>
      <c r="Q714" s="19">
        <f>IF(tb_rechnungen[[#This Row],[Brutto]]&lt;&gt;0,tb_rechnungen[[#This Row],[Brutto]]-tb_rechnungen[[#This Row],[Netto]],"")</f>
        <v/>
      </c>
      <c r="R714" s="37">
        <f>IF(tb_rechnungen[[#This Row],[Netto]]&lt;&gt;0,ROUND(tb_rechnungen[[#This Row],[Steuer]]/tb_rechnungen[[#This Row],[Netto]],2),"")</f>
        <v/>
      </c>
    </row>
    <row r="715">
      <c r="A715" s="26" t="n"/>
      <c r="B715" s="27" t="n"/>
      <c r="C715" s="35" t="n"/>
      <c r="D715" s="35" t="n"/>
      <c r="E715" s="27" t="n"/>
      <c r="F715" s="29" t="n"/>
      <c r="G715" s="29" t="n"/>
      <c r="H715" s="30" t="n"/>
      <c r="I715" s="30" t="n"/>
      <c r="J715" s="30" t="n"/>
      <c r="K715" s="50" t="n"/>
      <c r="L715" s="50" t="n"/>
      <c r="M715" s="67" t="n"/>
      <c r="N715" s="30" t="n"/>
      <c r="O715" s="12">
        <f>IF(tb_rechnungen[[#This Row],[Re-Datum]]&gt;0,MONTH(tb_rechnungen[[#This Row],[Re-Datum]]),"")</f>
        <v/>
      </c>
      <c r="P715" s="13">
        <f>IF(tb_rechnungen[[#This Row],[Re-Datum]]&gt;0,YEAR(tb_rechnungen[[#This Row],[Re-Datum]]),"")</f>
        <v/>
      </c>
      <c r="Q715" s="19">
        <f>IF(tb_rechnungen[[#This Row],[Brutto]]&lt;&gt;0,tb_rechnungen[[#This Row],[Brutto]]-tb_rechnungen[[#This Row],[Netto]],"")</f>
        <v/>
      </c>
      <c r="R715" s="37">
        <f>IF(tb_rechnungen[[#This Row],[Netto]]&lt;&gt;0,ROUND(tb_rechnungen[[#This Row],[Steuer]]/tb_rechnungen[[#This Row],[Netto]],2),"")</f>
        <v/>
      </c>
    </row>
    <row r="716">
      <c r="A716" s="26" t="n"/>
      <c r="B716" s="27" t="n"/>
      <c r="C716" s="28" t="n"/>
      <c r="D716" s="28" t="n"/>
      <c r="E716" s="27" t="n"/>
      <c r="F716" s="29" t="n"/>
      <c r="G716" s="29" t="n"/>
      <c r="H716" s="30" t="n"/>
      <c r="I716" s="30" t="n"/>
      <c r="J716" s="30" t="n"/>
      <c r="K716" s="50" t="n"/>
      <c r="L716" s="50" t="n"/>
      <c r="M716" s="67" t="n"/>
      <c r="N716" s="30" t="n"/>
      <c r="O716" s="12">
        <f>IF(tb_rechnungen[[#This Row],[Re-Datum]]&gt;0,MONTH(tb_rechnungen[[#This Row],[Re-Datum]]),"")</f>
        <v/>
      </c>
      <c r="P716" s="13">
        <f>IF(tb_rechnungen[[#This Row],[Re-Datum]]&gt;0,YEAR(tb_rechnungen[[#This Row],[Re-Datum]]),"")</f>
        <v/>
      </c>
      <c r="Q716" s="19">
        <f>IF(tb_rechnungen[[#This Row],[Brutto]]&lt;&gt;0,tb_rechnungen[[#This Row],[Brutto]]-tb_rechnungen[[#This Row],[Netto]],"")</f>
        <v/>
      </c>
      <c r="R716" s="37">
        <f>IF(tb_rechnungen[[#This Row],[Netto]]&lt;&gt;0,ROUND(tb_rechnungen[[#This Row],[Steuer]]/tb_rechnungen[[#This Row],[Netto]],2),"")</f>
        <v/>
      </c>
    </row>
    <row r="717">
      <c r="A717" s="26" t="n"/>
      <c r="B717" s="27" t="n"/>
      <c r="C717" s="28" t="n"/>
      <c r="D717" s="28" t="n"/>
      <c r="E717" s="27" t="n"/>
      <c r="F717" s="29" t="n"/>
      <c r="G717" s="29" t="n"/>
      <c r="H717" s="30" t="n"/>
      <c r="I717" s="30" t="n"/>
      <c r="J717" s="30" t="n"/>
      <c r="K717" s="50" t="n"/>
      <c r="L717" s="50" t="n"/>
      <c r="M717" s="67" t="n"/>
      <c r="N717" s="30" t="n"/>
      <c r="O717" s="12">
        <f>IF(tb_rechnungen[[#This Row],[Re-Datum]]&gt;0,MONTH(tb_rechnungen[[#This Row],[Re-Datum]]),"")</f>
        <v/>
      </c>
      <c r="P717" s="13">
        <f>IF(tb_rechnungen[[#This Row],[Re-Datum]]&gt;0,YEAR(tb_rechnungen[[#This Row],[Re-Datum]]),"")</f>
        <v/>
      </c>
      <c r="Q717" s="19">
        <f>IF(tb_rechnungen[[#This Row],[Brutto]]&lt;&gt;0,tb_rechnungen[[#This Row],[Brutto]]-tb_rechnungen[[#This Row],[Netto]],"")</f>
        <v/>
      </c>
      <c r="R717" s="37">
        <f>IF(tb_rechnungen[[#This Row],[Netto]]&lt;&gt;0,ROUND(tb_rechnungen[[#This Row],[Steuer]]/tb_rechnungen[[#This Row],[Netto]],2),"")</f>
        <v/>
      </c>
    </row>
    <row r="718">
      <c r="A718" s="26" t="n"/>
      <c r="B718" s="27" t="n"/>
      <c r="C718" s="28" t="n"/>
      <c r="D718" s="28" t="n"/>
      <c r="E718" s="27" t="n"/>
      <c r="F718" s="29" t="n"/>
      <c r="G718" s="29" t="n"/>
      <c r="H718" s="30" t="n"/>
      <c r="I718" s="30" t="n"/>
      <c r="J718" s="30" t="n"/>
      <c r="K718" s="50" t="n"/>
      <c r="L718" s="50" t="n"/>
      <c r="M718" s="67" t="n"/>
      <c r="N718" s="30" t="n"/>
      <c r="O718" s="12">
        <f>IF(tb_rechnungen[[#This Row],[Re-Datum]]&gt;0,MONTH(tb_rechnungen[[#This Row],[Re-Datum]]),"")</f>
        <v/>
      </c>
      <c r="P718" s="13">
        <f>IF(tb_rechnungen[[#This Row],[Re-Datum]]&gt;0,YEAR(tb_rechnungen[[#This Row],[Re-Datum]]),"")</f>
        <v/>
      </c>
      <c r="Q718" s="19">
        <f>IF(tb_rechnungen[[#This Row],[Brutto]]&lt;&gt;0,tb_rechnungen[[#This Row],[Brutto]]-tb_rechnungen[[#This Row],[Netto]],"")</f>
        <v/>
      </c>
      <c r="R718" s="37">
        <f>IF(tb_rechnungen[[#This Row],[Netto]]&lt;&gt;0,ROUND(tb_rechnungen[[#This Row],[Steuer]]/tb_rechnungen[[#This Row],[Netto]],2),"")</f>
        <v/>
      </c>
      <c r="S718" s="6" t="n"/>
    </row>
    <row r="719">
      <c r="A719" s="26" t="n"/>
      <c r="B719" s="27" t="n"/>
      <c r="C719" s="28" t="n"/>
      <c r="D719" s="28" t="n"/>
      <c r="E719" s="27" t="n"/>
      <c r="F719" s="29" t="n"/>
      <c r="G719" s="29" t="n"/>
      <c r="H719" s="30" t="n"/>
      <c r="I719" s="30" t="n"/>
      <c r="J719" s="30" t="n"/>
      <c r="K719" s="50" t="n"/>
      <c r="L719" s="50" t="n"/>
      <c r="M719" s="67" t="n"/>
      <c r="N719" s="30" t="n"/>
      <c r="O719" s="12">
        <f>IF(tb_rechnungen[[#This Row],[Re-Datum]]&gt;0,MONTH(tb_rechnungen[[#This Row],[Re-Datum]]),"")</f>
        <v/>
      </c>
      <c r="P719" s="13">
        <f>IF(tb_rechnungen[[#This Row],[Re-Datum]]&gt;0,YEAR(tb_rechnungen[[#This Row],[Re-Datum]]),"")</f>
        <v/>
      </c>
      <c r="Q719" s="19">
        <f>IF(tb_rechnungen[[#This Row],[Brutto]]&lt;&gt;0,tb_rechnungen[[#This Row],[Brutto]]-tb_rechnungen[[#This Row],[Netto]],"")</f>
        <v/>
      </c>
      <c r="R719" s="37">
        <f>IF(tb_rechnungen[[#This Row],[Netto]]&lt;&gt;0,ROUND(tb_rechnungen[[#This Row],[Steuer]]/tb_rechnungen[[#This Row],[Netto]],2),"")</f>
        <v/>
      </c>
    </row>
    <row r="720">
      <c r="A720" s="26" t="n"/>
      <c r="B720" s="27" t="n"/>
      <c r="C720" s="28" t="n"/>
      <c r="D720" s="28" t="n"/>
      <c r="E720" s="27" t="n"/>
      <c r="F720" s="29" t="n"/>
      <c r="G720" s="29" t="n"/>
      <c r="H720" s="30" t="n"/>
      <c r="I720" s="30" t="n"/>
      <c r="J720" s="30" t="n"/>
      <c r="K720" s="50" t="n"/>
      <c r="L720" s="50" t="n"/>
      <c r="M720" s="67" t="n"/>
      <c r="N720" s="30" t="n"/>
      <c r="O720" s="12">
        <f>IF(tb_rechnungen[[#This Row],[Re-Datum]]&gt;0,MONTH(tb_rechnungen[[#This Row],[Re-Datum]]),"")</f>
        <v/>
      </c>
      <c r="P720" s="13">
        <f>IF(tb_rechnungen[[#This Row],[Re-Datum]]&gt;0,YEAR(tb_rechnungen[[#This Row],[Re-Datum]]),"")</f>
        <v/>
      </c>
      <c r="Q720" s="19">
        <f>IF(tb_rechnungen[[#This Row],[Brutto]]&lt;&gt;0,tb_rechnungen[[#This Row],[Brutto]]-tb_rechnungen[[#This Row],[Netto]],"")</f>
        <v/>
      </c>
      <c r="R720" s="37">
        <f>IF(tb_rechnungen[[#This Row],[Netto]]&lt;&gt;0,ROUND(tb_rechnungen[[#This Row],[Steuer]]/tb_rechnungen[[#This Row],[Netto]],2),"")</f>
        <v/>
      </c>
    </row>
    <row r="721">
      <c r="A721" s="26" t="n">
        <v>46094</v>
      </c>
      <c r="B721" s="27" t="inlineStr">
        <is>
          <t>Anthropic, PBC</t>
        </is>
      </c>
      <c r="C721" s="28" t="inlineStr">
        <is>
          <t>JOH4P0JW-0006</t>
        </is>
      </c>
      <c r="D721" s="28" t="n"/>
      <c r="E721" s="27" t="n"/>
      <c r="F721" s="29" t="n">
        <v>18</v>
      </c>
      <c r="G721" s="29" t="n">
        <v>18</v>
      </c>
      <c r="H721" s="30" t="n"/>
      <c r="I721" s="30" t="n"/>
      <c r="J721" s="31" t="n"/>
      <c r="K721" s="50" t="n">
        <v>46094</v>
      </c>
      <c r="L721" s="50" t="n"/>
      <c r="M721" s="67" t="n"/>
      <c r="N721" s="30" t="n"/>
      <c r="O721">
        <f>IF(tb_rechnungen[[#This Row],[Re-Datum]]&gt;0,MONTH(tb_rechnungen[[#This Row],[Re-Datum]]),"")</f>
        <v/>
      </c>
      <c r="P721">
        <f>IF(tb_rechnungen[[#This Row],[Re-Datum]]&gt;0,YEAR(tb_rechnungen[[#This Row],[Re-Datum]]),"")</f>
        <v/>
      </c>
      <c r="Q721">
        <f>IF(tb_rechnungen[[#This Row],[Brutto]]&lt;&gt;0,tb_rechnungen[[#This Row],[Brutto]]-tb_rechnungen[[#This Row],[Netto]],"")</f>
        <v/>
      </c>
      <c r="R721">
        <f>IF(tb_rechnungen[[#This Row],[Netto]]&lt;&gt;0,ROUND(tb_rechnungen[[#This Row],[Steuer]]/tb_rechnungen[[#This Row],[Netto]],2),"")</f>
        <v/>
      </c>
    </row>
  </sheetData>
  <mergeCells count="1">
    <mergeCell ref="O2:Q2"/>
  </mergeCells>
  <conditionalFormatting sqref="F343:G352 F354:G354 F357:G359 F361:G720">
    <cfRule type="cellIs" priority="12" operator="lessThan" dxfId="29">
      <formula>0</formula>
    </cfRule>
  </conditionalFormatting>
  <conditionalFormatting sqref="F5:G342">
    <cfRule type="cellIs" priority="6" operator="lessThan" dxfId="29">
      <formula>0</formula>
    </cfRule>
  </conditionalFormatting>
  <conditionalFormatting sqref="F353:G353">
    <cfRule type="cellIs" priority="5" operator="lessThan" dxfId="29">
      <formula>0</formula>
    </cfRule>
  </conditionalFormatting>
  <conditionalFormatting sqref="F721:G721">
    <cfRule type="cellIs" priority="3" operator="lessThan" dxfId="29">
      <formula>0</formula>
    </cfRule>
  </conditionalFormatting>
  <conditionalFormatting sqref="F355:G356">
    <cfRule type="cellIs" priority="2" operator="lessThan" dxfId="29">
      <formula>0</formula>
    </cfRule>
  </conditionalFormatting>
  <conditionalFormatting sqref="F360:G360">
    <cfRule type="cellIs" priority="1" operator="lessThan" dxfId="29">
      <formula>0</formula>
    </cfRule>
  </conditionalFormatting>
  <pageMargins left="0.2755905511811024" right="0.3149606299212598" top="0.3937007874015748" bottom="0.3937007874015748" header="0.3149606299212598" footer="0.3149606299212598"/>
  <pageSetup orientation="landscape" paperSize="9" scale="9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Tabelle3">
    <outlinePr summaryBelow="1" summaryRight="1"/>
    <pageSetUpPr/>
  </sheetPr>
  <dimension ref="A4:G56"/>
  <sheetViews>
    <sheetView workbookViewId="0">
      <pane ySplit="5" topLeftCell="A18" activePane="bottomLeft" state="frozen"/>
      <selection pane="bottomLeft" activeCell="B18" sqref="B18"/>
    </sheetView>
  </sheetViews>
  <sheetFormatPr baseColWidth="10" defaultRowHeight="15"/>
  <cols>
    <col width="15" customWidth="1" min="1" max="1"/>
    <col width="45.42578125" customWidth="1" min="2" max="2"/>
    <col width="7.28515625" customWidth="1" min="3" max="3"/>
    <col width="13.5703125" customWidth="1" min="4" max="4"/>
    <col width="30.140625" customWidth="1" min="6" max="6"/>
    <col width="61.85546875" customWidth="1" min="7" max="7"/>
  </cols>
  <sheetData>
    <row r="4">
      <c r="A4">
        <f>SUBTOTAL(3,Tabelle2[Kred-ID])</f>
        <v/>
      </c>
    </row>
    <row r="5">
      <c r="A5" t="inlineStr">
        <is>
          <t>Kred-ID</t>
        </is>
      </c>
      <c r="B5" t="inlineStr">
        <is>
          <t>Name</t>
        </is>
      </c>
      <c r="C5" t="inlineStr">
        <is>
          <t>EU</t>
        </is>
      </c>
      <c r="D5" t="inlineStr">
        <is>
          <t>ABB-Konto</t>
        </is>
      </c>
      <c r="E5" t="inlineStr">
        <is>
          <t>U_Text</t>
        </is>
      </c>
      <c r="F5" t="inlineStr">
        <is>
          <t>IBAN</t>
        </is>
      </c>
      <c r="G5" t="inlineStr">
        <is>
          <t>Hinweise</t>
        </is>
      </c>
    </row>
    <row r="6">
      <c r="A6" t="inlineStr">
        <is>
          <t>allianz</t>
        </is>
      </c>
      <c r="B6" t="inlineStr">
        <is>
          <t>Allianz</t>
        </is>
      </c>
      <c r="C6" t="inlineStr">
        <is>
          <t>U</t>
        </is>
      </c>
    </row>
    <row r="7">
      <c r="A7" t="inlineStr">
        <is>
          <t>ALSO</t>
        </is>
      </c>
      <c r="B7" t="inlineStr">
        <is>
          <t>ALSO</t>
        </is>
      </c>
      <c r="C7" t="inlineStr">
        <is>
          <t>U</t>
        </is>
      </c>
    </row>
    <row r="8">
      <c r="A8" t="inlineStr">
        <is>
          <t>amazon</t>
        </is>
      </c>
      <c r="B8" t="inlineStr">
        <is>
          <t>Amazon</t>
        </is>
      </c>
      <c r="C8" t="inlineStr">
        <is>
          <t>U</t>
        </is>
      </c>
    </row>
    <row r="9">
      <c r="A9" t="inlineStr">
        <is>
          <t>anthropic</t>
        </is>
      </c>
      <c r="B9" t="inlineStr">
        <is>
          <t>Anthropic</t>
        </is>
      </c>
      <c r="C9" t="inlineStr">
        <is>
          <t>E</t>
        </is>
      </c>
      <c r="G9" t="inlineStr">
        <is>
          <t>Aktuell kein Abo</t>
        </is>
      </c>
    </row>
    <row r="10">
      <c r="A10" t="inlineStr">
        <is>
          <t>API</t>
        </is>
      </c>
      <c r="B10" t="inlineStr">
        <is>
          <t>API</t>
        </is>
      </c>
      <c r="C10" t="inlineStr">
        <is>
          <t>U</t>
        </is>
      </c>
    </row>
    <row r="11">
      <c r="A11" t="inlineStr">
        <is>
          <t>Apptec360</t>
        </is>
      </c>
      <c r="B11" t="inlineStr">
        <is>
          <t>Apptec360</t>
        </is>
      </c>
      <c r="C11" t="inlineStr">
        <is>
          <t>U</t>
        </is>
      </c>
      <c r="F11" t="inlineStr">
        <is>
          <t>CH940023323311007760V</t>
        </is>
      </c>
    </row>
    <row r="12">
      <c r="A12" t="inlineStr">
        <is>
          <t>BAVC</t>
        </is>
      </c>
      <c r="B12" t="inlineStr">
        <is>
          <t>BAVC</t>
        </is>
      </c>
      <c r="C12" t="inlineStr">
        <is>
          <t>E</t>
        </is>
      </c>
      <c r="D12" t="inlineStr">
        <is>
          <t>VR</t>
        </is>
      </c>
    </row>
    <row r="13">
      <c r="A13" t="inlineStr">
        <is>
          <t>BF</t>
        </is>
      </c>
      <c r="B13" t="inlineStr">
        <is>
          <t>BFS Finance GmbH</t>
        </is>
      </c>
      <c r="C13" t="inlineStr">
        <is>
          <t>U</t>
        </is>
      </c>
      <c r="E13" t="inlineStr">
        <is>
          <t>API GmbH</t>
        </is>
      </c>
      <c r="F13" t="inlineStr">
        <is>
          <t>DE16478400804156727358</t>
        </is>
      </c>
    </row>
    <row r="14">
      <c r="A14" t="inlineStr">
        <is>
          <t>Blau</t>
        </is>
      </c>
      <c r="B14" t="inlineStr">
        <is>
          <t>Blau</t>
        </is>
      </c>
      <c r="C14" t="inlineStr">
        <is>
          <t>E</t>
        </is>
      </c>
      <c r="D14" t="inlineStr">
        <is>
          <t>VR</t>
        </is>
      </c>
    </row>
    <row r="15">
      <c r="A15" t="inlineStr">
        <is>
          <t>Bundesanzeiger</t>
        </is>
      </c>
      <c r="B15" t="inlineStr">
        <is>
          <t>Bundesanzeiger</t>
        </is>
      </c>
      <c r="C15" t="inlineStr">
        <is>
          <t>E</t>
        </is>
      </c>
      <c r="D15" t="inlineStr">
        <is>
          <t>VR</t>
        </is>
      </c>
    </row>
    <row r="16">
      <c r="A16" t="inlineStr">
        <is>
          <t>Cyberport</t>
        </is>
      </c>
      <c r="B16" t="inlineStr">
        <is>
          <t>Cyberport</t>
        </is>
      </c>
      <c r="C16" t="inlineStr">
        <is>
          <t>U</t>
        </is>
      </c>
    </row>
    <row r="17">
      <c r="A17" t="inlineStr">
        <is>
          <t>DHL</t>
        </is>
      </c>
      <c r="B17" t="inlineStr">
        <is>
          <t>Deutsche Post AG</t>
        </is>
      </c>
      <c r="C17" t="inlineStr">
        <is>
          <t>E</t>
        </is>
      </c>
      <c r="D17" t="inlineStr">
        <is>
          <t>paypal</t>
        </is>
      </c>
    </row>
    <row r="18">
      <c r="A18" t="inlineStr">
        <is>
          <t>DKV</t>
        </is>
      </c>
      <c r="B18" t="inlineStr">
        <is>
          <t>DKV Euro Service GmbH + Co. KG</t>
        </is>
      </c>
      <c r="C18" t="inlineStr">
        <is>
          <t>E</t>
        </is>
      </c>
      <c r="D18" t="inlineStr">
        <is>
          <t>VR</t>
        </is>
      </c>
    </row>
    <row r="19">
      <c r="A19" t="inlineStr">
        <is>
          <t>NFON</t>
        </is>
      </c>
      <c r="B19" t="inlineStr">
        <is>
          <t>DTS NFON</t>
        </is>
      </c>
      <c r="C19" t="inlineStr">
        <is>
          <t>E</t>
        </is>
      </c>
      <c r="D19" t="inlineStr">
        <is>
          <t>VR</t>
        </is>
      </c>
    </row>
    <row r="20">
      <c r="A20" t="inlineStr">
        <is>
          <t>Elovade</t>
        </is>
      </c>
      <c r="B20" t="inlineStr">
        <is>
          <t>Elovade Ebertlang</t>
        </is>
      </c>
      <c r="C20" t="inlineStr">
        <is>
          <t>E</t>
        </is>
      </c>
      <c r="D20" t="inlineStr">
        <is>
          <t>VR</t>
        </is>
      </c>
    </row>
    <row r="21">
      <c r="A21" t="inlineStr">
        <is>
          <t>FinBC</t>
        </is>
      </c>
      <c r="B21" t="inlineStr">
        <is>
          <t>FinBC</t>
        </is>
      </c>
      <c r="C21" t="inlineStr">
        <is>
          <t>E</t>
        </is>
      </c>
      <c r="D21" t="inlineStr">
        <is>
          <t>FYRST</t>
        </is>
      </c>
      <c r="G21" t="inlineStr">
        <is>
          <t>Abo Rechnungsapi.de für SWB,  früher Abbuchung Finom</t>
        </is>
      </c>
    </row>
    <row r="22">
      <c r="A22" t="inlineStr">
        <is>
          <t>FourJs</t>
        </is>
      </c>
      <c r="B22" t="inlineStr">
        <is>
          <t>FourJs Dvelopment Tools Europe Limited</t>
        </is>
      </c>
      <c r="C22" t="inlineStr">
        <is>
          <t>U</t>
        </is>
      </c>
      <c r="F22" t="inlineStr">
        <is>
          <t>IE27AIBK93312005082026</t>
        </is>
      </c>
    </row>
    <row r="23">
      <c r="A23" t="inlineStr">
        <is>
          <t>FP Digital</t>
        </is>
      </c>
      <c r="B23" t="inlineStr">
        <is>
          <t>FP Digital</t>
        </is>
      </c>
      <c r="C23" t="inlineStr">
        <is>
          <t>U</t>
        </is>
      </c>
      <c r="F23" t="inlineStr">
        <is>
          <t>DE03100100100859931106</t>
        </is>
      </c>
    </row>
    <row r="24">
      <c r="A24" t="inlineStr">
        <is>
          <t>Gandenberger</t>
        </is>
      </c>
      <c r="B24" t="inlineStr">
        <is>
          <t>Gandenberger</t>
        </is>
      </c>
      <c r="C24" t="inlineStr">
        <is>
          <t>U</t>
        </is>
      </c>
    </row>
    <row r="25">
      <c r="A25" t="inlineStr">
        <is>
          <t>GEZ</t>
        </is>
      </c>
      <c r="B25" t="inlineStr">
        <is>
          <t>GEZ</t>
        </is>
      </c>
      <c r="C25" t="inlineStr">
        <is>
          <t>E</t>
        </is>
      </c>
      <c r="D25" t="inlineStr">
        <is>
          <t>VR</t>
        </is>
      </c>
    </row>
    <row r="26">
      <c r="A26" t="inlineStr">
        <is>
          <t>Greiner</t>
        </is>
      </c>
      <c r="B26" t="inlineStr">
        <is>
          <t>Greiner</t>
        </is>
      </c>
      <c r="C26" t="inlineStr">
        <is>
          <t>U</t>
        </is>
      </c>
    </row>
    <row r="27">
      <c r="A27" t="inlineStr">
        <is>
          <t>GS1 Aisbl</t>
        </is>
      </c>
      <c r="B27" t="inlineStr">
        <is>
          <t>GS1 Aisbl</t>
        </is>
      </c>
      <c r="C27" t="inlineStr">
        <is>
          <t>K</t>
        </is>
      </c>
      <c r="D27" t="inlineStr">
        <is>
          <t>FYRST</t>
        </is>
      </c>
      <c r="G27" t="inlineStr">
        <is>
          <t>Früher Finom</t>
        </is>
      </c>
    </row>
    <row r="28">
      <c r="A28" t="inlineStr">
        <is>
          <t>Haus&amp;Grund</t>
        </is>
      </c>
      <c r="B28" t="inlineStr">
        <is>
          <t>Haus&amp;Grund</t>
        </is>
      </c>
      <c r="C28" t="inlineStr">
        <is>
          <t>E</t>
        </is>
      </c>
      <c r="D28" t="inlineStr">
        <is>
          <t>VR</t>
        </is>
      </c>
    </row>
    <row r="29">
      <c r="A29" t="inlineStr">
        <is>
          <t>Hetzner</t>
        </is>
      </c>
      <c r="B29" t="inlineStr">
        <is>
          <t>Hetzner Online GmbH</t>
        </is>
      </c>
      <c r="C29" t="inlineStr">
        <is>
          <t>E</t>
        </is>
      </c>
      <c r="D29" t="inlineStr">
        <is>
          <t>VR</t>
        </is>
      </c>
    </row>
    <row r="30">
      <c r="A30" t="inlineStr">
        <is>
          <t>HUK24</t>
        </is>
      </c>
      <c r="B30" t="inlineStr">
        <is>
          <t>HUK24 AG Huk-Coburg</t>
        </is>
      </c>
      <c r="C30" t="inlineStr">
        <is>
          <t>E</t>
        </is>
      </c>
      <c r="D30" t="inlineStr">
        <is>
          <t>VR</t>
        </is>
      </c>
    </row>
    <row r="31">
      <c r="A31" t="inlineStr">
        <is>
          <t>Infinigate</t>
        </is>
      </c>
      <c r="B31" t="inlineStr">
        <is>
          <t>Infinigate</t>
        </is>
      </c>
      <c r="C31" t="inlineStr">
        <is>
          <t>U</t>
        </is>
      </c>
    </row>
    <row r="32">
      <c r="A32" t="inlineStr">
        <is>
          <t>Jacob Elektronik</t>
        </is>
      </c>
      <c r="B32" t="inlineStr">
        <is>
          <t>Jacob Elektronik</t>
        </is>
      </c>
      <c r="C32" t="inlineStr">
        <is>
          <t>U</t>
        </is>
      </c>
    </row>
    <row r="33">
      <c r="A33" t="inlineStr">
        <is>
          <t>NFON</t>
        </is>
      </c>
      <c r="B33" t="inlineStr">
        <is>
          <t>Nfon AG</t>
        </is>
      </c>
      <c r="C33" t="inlineStr">
        <is>
          <t>E</t>
        </is>
      </c>
      <c r="D33" t="inlineStr">
        <is>
          <t>VR</t>
        </is>
      </c>
    </row>
    <row r="34">
      <c r="A34" t="inlineStr">
        <is>
          <t>Macle</t>
        </is>
      </c>
      <c r="B34" t="inlineStr">
        <is>
          <t>Macle</t>
        </is>
      </c>
      <c r="C34" t="inlineStr">
        <is>
          <t>U</t>
        </is>
      </c>
    </row>
    <row r="35">
      <c r="A35" t="inlineStr">
        <is>
          <t>MH-Bensheim</t>
        </is>
      </c>
      <c r="B35" t="inlineStr">
        <is>
          <t>MH Bensheim</t>
        </is>
      </c>
      <c r="C35" t="inlineStr">
        <is>
          <t>U</t>
        </is>
      </c>
      <c r="F35" t="inlineStr">
        <is>
          <t>DE93100100100779987130</t>
        </is>
      </c>
    </row>
    <row r="36">
      <c r="A36" t="inlineStr">
        <is>
          <t>Microsoft</t>
        </is>
      </c>
      <c r="B36" t="inlineStr">
        <is>
          <t>Microsoft</t>
        </is>
      </c>
      <c r="C36" t="inlineStr">
        <is>
          <t>U</t>
        </is>
      </c>
    </row>
    <row r="37">
      <c r="A37" t="inlineStr">
        <is>
          <t>Nextcloud</t>
        </is>
      </c>
      <c r="B37" t="inlineStr">
        <is>
          <t>Nextcloud</t>
        </is>
      </c>
      <c r="C37" t="inlineStr">
        <is>
          <t>U</t>
        </is>
      </c>
    </row>
    <row r="38">
      <c r="A38" t="inlineStr">
        <is>
          <t>OPenAI</t>
        </is>
      </c>
      <c r="B38" t="inlineStr">
        <is>
          <t>OPenAI</t>
        </is>
      </c>
      <c r="C38" t="inlineStr">
        <is>
          <t>E</t>
        </is>
      </c>
      <c r="D38" t="inlineStr">
        <is>
          <t>FYRST</t>
        </is>
      </c>
      <c r="E38" t="inlineStr">
        <is>
          <t>ChatGPT</t>
        </is>
      </c>
    </row>
    <row r="39">
      <c r="A39" t="inlineStr">
        <is>
          <t>PSW</t>
        </is>
      </c>
      <c r="B39" t="inlineStr">
        <is>
          <t>PSW Group</t>
        </is>
      </c>
      <c r="C39" t="inlineStr">
        <is>
          <t>E</t>
        </is>
      </c>
      <c r="D39" t="inlineStr">
        <is>
          <t>VR</t>
        </is>
      </c>
    </row>
    <row r="40">
      <c r="A40" t="inlineStr">
        <is>
          <t>Ramgesoft</t>
        </is>
      </c>
      <c r="B40" t="inlineStr">
        <is>
          <t>Ramge Software</t>
        </is>
      </c>
      <c r="C40" t="inlineStr">
        <is>
          <t>U</t>
        </is>
      </c>
    </row>
    <row r="41">
      <c r="A41" t="inlineStr">
        <is>
          <t>Ratiokontakt</t>
        </is>
      </c>
      <c r="B41" t="inlineStr">
        <is>
          <t>Ratiokontakt GmbH</t>
        </is>
      </c>
      <c r="C41" t="inlineStr">
        <is>
          <t>E</t>
        </is>
      </c>
      <c r="D41" t="inlineStr">
        <is>
          <t>VR</t>
        </is>
      </c>
    </row>
    <row r="42">
      <c r="A42" t="inlineStr">
        <is>
          <t>Sage</t>
        </is>
      </c>
      <c r="B42" t="inlineStr">
        <is>
          <t>Sage GmbH</t>
        </is>
      </c>
      <c r="C42" t="inlineStr">
        <is>
          <t>E</t>
        </is>
      </c>
      <c r="D42" t="inlineStr">
        <is>
          <t>VR</t>
        </is>
      </c>
    </row>
    <row r="43">
      <c r="A43" t="inlineStr">
        <is>
          <t>Splashtop</t>
        </is>
      </c>
      <c r="B43" t="inlineStr">
        <is>
          <t>Splashtop</t>
        </is>
      </c>
      <c r="C43" t="inlineStr">
        <is>
          <t>E</t>
        </is>
      </c>
      <c r="D43" t="inlineStr">
        <is>
          <t>paypal</t>
        </is>
      </c>
      <c r="G43" t="inlineStr">
        <is>
          <t>Abo für KVP</t>
        </is>
      </c>
    </row>
    <row r="44">
      <c r="A44" t="inlineStr">
        <is>
          <t>SW-Speyer</t>
        </is>
      </c>
      <c r="B44" t="inlineStr">
        <is>
          <t>Stadtwerke Speyer</t>
        </is>
      </c>
      <c r="C44" t="inlineStr">
        <is>
          <t>E</t>
        </is>
      </c>
      <c r="D44" t="inlineStr">
        <is>
          <t>VR</t>
        </is>
      </c>
    </row>
    <row r="45">
      <c r="A45" t="inlineStr">
        <is>
          <t>Starbuero</t>
        </is>
      </c>
      <c r="B45" t="inlineStr">
        <is>
          <t>Starbuero</t>
        </is>
      </c>
      <c r="C45" t="inlineStr">
        <is>
          <t>E</t>
        </is>
      </c>
      <c r="D45" t="inlineStr">
        <is>
          <t>VR</t>
        </is>
      </c>
    </row>
    <row r="46">
      <c r="A46" t="inlineStr">
        <is>
          <t>Systeam</t>
        </is>
      </c>
      <c r="B46" t="inlineStr">
        <is>
          <t>Systeam</t>
        </is>
      </c>
      <c r="C46" t="inlineStr">
        <is>
          <t>U</t>
        </is>
      </c>
      <c r="F46" t="inlineStr">
        <is>
          <t>DE32770200700363106897</t>
        </is>
      </c>
    </row>
    <row r="47">
      <c r="A47" t="inlineStr">
        <is>
          <t>TDSynex</t>
        </is>
      </c>
      <c r="B47" t="inlineStr">
        <is>
          <t>TDSynex</t>
        </is>
      </c>
      <c r="C47" t="inlineStr">
        <is>
          <t>U</t>
        </is>
      </c>
    </row>
    <row r="48">
      <c r="A48" t="inlineStr">
        <is>
          <t>Telekom</t>
        </is>
      </c>
      <c r="B48" t="inlineStr">
        <is>
          <t>Telekom Deutschland GmbH</t>
        </is>
      </c>
      <c r="C48" t="inlineStr">
        <is>
          <t>E</t>
        </is>
      </c>
      <c r="D48" t="inlineStr">
        <is>
          <t>VR</t>
        </is>
      </c>
    </row>
    <row r="49">
      <c r="A49" t="inlineStr">
        <is>
          <t>TK AG</t>
        </is>
      </c>
      <c r="B49" t="inlineStr">
        <is>
          <t>Thomas-Krenn.AG</t>
        </is>
      </c>
      <c r="C49" t="inlineStr">
        <is>
          <t>U</t>
        </is>
      </c>
    </row>
    <row r="50">
      <c r="A50" t="inlineStr">
        <is>
          <t>Vendosoft</t>
        </is>
      </c>
      <c r="B50" t="inlineStr">
        <is>
          <t>Vendosoft</t>
        </is>
      </c>
      <c r="C50" t="inlineStr">
        <is>
          <t>U</t>
        </is>
      </c>
      <c r="F50" t="inlineStr">
        <is>
          <t>DE68720200700022580493</t>
        </is>
      </c>
    </row>
    <row r="51">
      <c r="A51" t="inlineStr">
        <is>
          <t>Video4Net</t>
        </is>
      </c>
      <c r="B51" t="inlineStr">
        <is>
          <t>Video4Net</t>
        </is>
      </c>
      <c r="C51" t="inlineStr">
        <is>
          <t>U</t>
        </is>
      </c>
    </row>
    <row r="52">
      <c r="A52" t="inlineStr">
        <is>
          <t>VitalWorks</t>
        </is>
      </c>
      <c r="B52" t="inlineStr">
        <is>
          <t>VitalWorks noIP</t>
        </is>
      </c>
      <c r="C52" t="inlineStr">
        <is>
          <t>E</t>
        </is>
      </c>
      <c r="D52" t="inlineStr">
        <is>
          <t>paypal</t>
        </is>
      </c>
      <c r="G52" t="inlineStr">
        <is>
          <t>Abo noip für GZI</t>
        </is>
      </c>
    </row>
    <row r="53">
      <c r="A53" t="inlineStr">
        <is>
          <t>VW-Leasing</t>
        </is>
      </c>
      <c r="B53" t="inlineStr">
        <is>
          <t>VW Leasing</t>
        </is>
      </c>
      <c r="C53" t="inlineStr">
        <is>
          <t>E</t>
        </is>
      </c>
      <c r="D53" t="inlineStr">
        <is>
          <t>VR</t>
        </is>
      </c>
    </row>
    <row r="54">
      <c r="A54" t="inlineStr">
        <is>
          <t>Westcon</t>
        </is>
      </c>
      <c r="B54" t="inlineStr">
        <is>
          <t>Westcon</t>
        </is>
      </c>
      <c r="C54" t="inlineStr">
        <is>
          <t>U</t>
        </is>
      </c>
    </row>
    <row r="55">
      <c r="A55" t="inlineStr">
        <is>
          <t>Wolkesicher</t>
        </is>
      </c>
      <c r="B55" t="inlineStr">
        <is>
          <t>Wolkesicher</t>
        </is>
      </c>
      <c r="C55" t="inlineStr">
        <is>
          <t>E</t>
        </is>
      </c>
      <c r="D55" t="inlineStr">
        <is>
          <t>VR</t>
        </is>
      </c>
    </row>
    <row r="56">
      <c r="A56" t="inlineStr">
        <is>
          <t>Wortmann</t>
        </is>
      </c>
      <c r="B56" t="inlineStr">
        <is>
          <t>Wortmann AG</t>
        </is>
      </c>
      <c r="C56" t="inlineStr">
        <is>
          <t>U</t>
        </is>
      </c>
    </row>
  </sheetData>
  <pageMargins left="0.7" right="0.7" top="0.787401575" bottom="0.7874015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Tabelle2">
    <outlinePr summaryBelow="1" summaryRight="1"/>
    <pageSetUpPr/>
  </sheetPr>
  <dimension ref="B4:K13"/>
  <sheetViews>
    <sheetView workbookViewId="0">
      <selection activeCell="D7" sqref="D7"/>
    </sheetView>
  </sheetViews>
  <sheetFormatPr baseColWidth="10" defaultRowHeight="15"/>
  <cols>
    <col width="9.28515625" bestFit="1" customWidth="1" min="2" max="2"/>
    <col width="11.42578125" customWidth="1" min="3" max="14"/>
    <col width="12" bestFit="1" customWidth="1" min="15" max="17"/>
    <col width="11" bestFit="1" customWidth="1" min="18" max="19"/>
    <col width="12" bestFit="1" customWidth="1" min="20" max="27"/>
    <col width="11" bestFit="1" customWidth="1" min="28" max="29"/>
    <col width="12" bestFit="1" customWidth="1" min="30" max="36"/>
    <col width="5" bestFit="1" customWidth="1" min="37" max="40"/>
    <col width="12" bestFit="1" customWidth="1" min="41" max="52"/>
    <col width="11" bestFit="1" customWidth="1" min="53" max="53"/>
    <col width="12" bestFit="1" customWidth="1" min="54" max="55"/>
    <col width="11" bestFit="1" customWidth="1" min="56" max="57"/>
    <col width="12" bestFit="1" customWidth="1" min="58" max="70"/>
    <col width="11" bestFit="1" customWidth="1" min="71" max="71"/>
    <col width="12" bestFit="1" customWidth="1" min="72" max="74"/>
    <col width="11" bestFit="1" customWidth="1" min="75" max="75"/>
    <col width="15.5703125" bestFit="1" customWidth="1" min="77" max="77"/>
  </cols>
  <sheetData>
    <row r="4">
      <c r="B4" s="39" t="inlineStr">
        <is>
          <t>TYP</t>
        </is>
      </c>
      <c r="C4" t="inlineStr">
        <is>
          <t>(Alle)</t>
        </is>
      </c>
    </row>
    <row r="6">
      <c r="C6" s="39" t="inlineStr">
        <is>
          <t>USt-%</t>
        </is>
      </c>
    </row>
    <row r="7" ht="30" customFormat="1" customHeight="1" s="42">
      <c r="C7" s="42" t="n">
        <v>0</v>
      </c>
      <c r="F7" s="42" t="n">
        <v>0.19</v>
      </c>
      <c r="I7" s="44" t="inlineStr">
        <is>
          <t>Gesamt: S-Steuer</t>
        </is>
      </c>
      <c r="J7" s="44" t="inlineStr">
        <is>
          <t>Gesamt: S-Netto</t>
        </is>
      </c>
      <c r="K7" s="44" t="inlineStr">
        <is>
          <t>Gesamt: S-Brutto</t>
        </is>
      </c>
    </row>
    <row r="8">
      <c r="B8" s="43" t="inlineStr">
        <is>
          <t>Monat</t>
        </is>
      </c>
      <c r="C8" t="inlineStr">
        <is>
          <t>S-Steuer</t>
        </is>
      </c>
      <c r="D8" t="inlineStr">
        <is>
          <t>S-Netto</t>
        </is>
      </c>
      <c r="E8" t="inlineStr">
        <is>
          <t>S-Brutto</t>
        </is>
      </c>
      <c r="F8" t="inlineStr">
        <is>
          <t>S-Steuer</t>
        </is>
      </c>
      <c r="G8" t="inlineStr">
        <is>
          <t>S-Netto</t>
        </is>
      </c>
      <c r="H8" t="inlineStr">
        <is>
          <t>S-Brutto</t>
        </is>
      </c>
      <c r="I8" s="44" t="n"/>
      <c r="J8" s="44" t="n"/>
      <c r="K8" s="44" t="n"/>
    </row>
    <row r="9">
      <c r="B9" s="40" t="n">
        <v>2026</v>
      </c>
      <c r="C9" s="41" t="n">
        <v>0</v>
      </c>
      <c r="D9" s="41" t="n">
        <v>8236.040000000001</v>
      </c>
      <c r="E9" s="41" t="n">
        <v>8236.040000000001</v>
      </c>
      <c r="F9" s="41" t="n">
        <v>2222</v>
      </c>
      <c r="G9" s="41" t="n">
        <v>11694.64</v>
      </c>
      <c r="H9" s="41" t="n">
        <v>13916.64</v>
      </c>
      <c r="I9" s="41" t="n">
        <v>2222</v>
      </c>
      <c r="J9" s="41" t="n">
        <v>19930.68</v>
      </c>
      <c r="K9" s="41" t="n">
        <v>22152.68</v>
      </c>
    </row>
    <row r="10">
      <c r="B10" s="69" t="n">
        <v>1</v>
      </c>
      <c r="C10" s="41" t="n">
        <v>0</v>
      </c>
      <c r="D10" s="41" t="n">
        <v>7952.25</v>
      </c>
      <c r="E10" s="41" t="n">
        <v>7952.25</v>
      </c>
      <c r="F10" s="41" t="n">
        <v>858.22</v>
      </c>
      <c r="G10" s="41" t="n">
        <v>4516.880000000001</v>
      </c>
      <c r="H10" s="41" t="n">
        <v>5375.099999999999</v>
      </c>
      <c r="I10" s="41" t="n">
        <v>858.22</v>
      </c>
      <c r="J10" s="41" t="n">
        <v>12469.13</v>
      </c>
      <c r="K10" s="41" t="n">
        <v>13327.35</v>
      </c>
    </row>
    <row r="11">
      <c r="B11" s="69" t="n">
        <v>2</v>
      </c>
      <c r="C11" s="41" t="n">
        <v>0</v>
      </c>
      <c r="D11" s="41" t="n">
        <v>265.79</v>
      </c>
      <c r="E11" s="41" t="n">
        <v>265.79</v>
      </c>
      <c r="F11" s="41" t="n">
        <v>1181.88</v>
      </c>
      <c r="G11" s="41" t="n">
        <v>6220.450000000001</v>
      </c>
      <c r="H11" s="41" t="n">
        <v>7402.330000000001</v>
      </c>
      <c r="I11" s="41" t="n">
        <v>1181.88</v>
      </c>
      <c r="J11" s="41" t="n">
        <v>6486.240000000001</v>
      </c>
      <c r="K11" s="41" t="n">
        <v>7668.120000000001</v>
      </c>
    </row>
    <row r="12">
      <c r="B12" s="69" t="n">
        <v>3</v>
      </c>
      <c r="C12" s="41" t="n">
        <v>0</v>
      </c>
      <c r="D12" s="41" t="n">
        <v>18</v>
      </c>
      <c r="E12" s="41" t="n">
        <v>18</v>
      </c>
      <c r="F12" s="41" t="n">
        <v>181.9</v>
      </c>
      <c r="G12" s="41" t="n">
        <v>957.3099999999999</v>
      </c>
      <c r="H12" s="41" t="n">
        <v>1139.21</v>
      </c>
      <c r="I12" s="41" t="n">
        <v>181.9</v>
      </c>
      <c r="J12" s="41" t="n">
        <v>975.3099999999999</v>
      </c>
      <c r="K12" s="41" t="n">
        <v>1157.21</v>
      </c>
    </row>
    <row r="13">
      <c r="B13" s="40" t="inlineStr">
        <is>
          <t>Summe</t>
        </is>
      </c>
      <c r="C13" s="41" t="n">
        <v>0</v>
      </c>
      <c r="D13" s="41" t="n">
        <v>8236.040000000001</v>
      </c>
      <c r="E13" s="41" t="n">
        <v>8236.040000000001</v>
      </c>
      <c r="F13" s="41" t="n">
        <v>2222</v>
      </c>
      <c r="G13" s="41" t="n">
        <v>11694.64</v>
      </c>
      <c r="H13" s="41" t="n">
        <v>13916.64</v>
      </c>
      <c r="I13" s="41" t="n">
        <v>2222</v>
      </c>
      <c r="J13" s="41" t="n">
        <v>19930.68</v>
      </c>
      <c r="K13" s="41" t="n">
        <v>22152.68</v>
      </c>
    </row>
  </sheetData>
  <pageMargins left="0.7" right="0.7" top="0.787401575" bottom="0.7874015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Tabelle4">
    <outlinePr summaryBelow="1" summaryRight="1"/>
    <pageSetUpPr/>
  </sheetPr>
  <dimension ref="A1:D38"/>
  <sheetViews>
    <sheetView workbookViewId="0">
      <selection activeCell="B22" sqref="B22"/>
    </sheetView>
  </sheetViews>
  <sheetFormatPr baseColWidth="10" defaultRowHeight="15"/>
  <cols>
    <col width="41.85546875" customWidth="1" min="1" max="1"/>
    <col width="47.5703125" customWidth="1" min="2" max="2"/>
    <col width="57.140625" customWidth="1" min="3" max="3"/>
    <col width="38.140625" customWidth="1" min="4" max="4"/>
  </cols>
  <sheetData>
    <row r="1" ht="18.75" customHeight="1">
      <c r="A1" s="71" t="inlineStr">
        <is>
          <t>Import-Konfiguration für import_rg_pdf</t>
        </is>
      </c>
    </row>
    <row r="3">
      <c r="A3" s="72" t="inlineStr">
        <is>
          <t>Quellverzeichnisse</t>
        </is>
      </c>
      <c r="B3" s="73" t="n"/>
      <c r="C3" s="73" t="n"/>
    </row>
    <row r="4">
      <c r="A4" s="75" t="inlineStr">
        <is>
          <t>Parameter</t>
        </is>
      </c>
      <c r="B4" s="75" t="inlineStr">
        <is>
          <t>Wert</t>
        </is>
      </c>
      <c r="C4" s="75" t="inlineStr">
        <is>
          <t>Beschreibung</t>
        </is>
      </c>
    </row>
    <row r="5">
      <c r="A5" s="76" t="inlineStr">
        <is>
          <t>PDF_Verzeichnis_1</t>
        </is>
      </c>
      <c r="B5" s="74" t="inlineStr">
        <is>
          <t>C:\Rechnungen\Eingang\</t>
        </is>
      </c>
      <c r="C5" s="76" t="inlineStr">
        <is>
          <t>Hauptverzeichnis für PDF-Rechnungen</t>
        </is>
      </c>
    </row>
    <row r="6">
      <c r="A6" s="76" t="inlineStr">
        <is>
          <t>PDF_Verzeichnis_2</t>
        </is>
      </c>
      <c r="B6" s="74" t="n"/>
      <c r="C6" s="76" t="inlineStr">
        <is>
          <t>Optionales 2. Verzeichnis</t>
        </is>
      </c>
    </row>
    <row r="7">
      <c r="A7" s="76" t="inlineStr">
        <is>
          <t>PDF_Verzeichnis_3</t>
        </is>
      </c>
      <c r="B7" s="74" t="n"/>
      <c r="C7" s="76" t="inlineStr">
        <is>
          <t>Optionales 3. Verzeichnis</t>
        </is>
      </c>
    </row>
    <row r="8">
      <c r="A8" s="76" t="inlineStr">
        <is>
          <t>XML_Verzeichnis_1</t>
        </is>
      </c>
      <c r="B8" s="74" t="inlineStr">
        <is>
          <t>C:\Rechnungen\XRechnung\</t>
        </is>
      </c>
      <c r="C8" s="76" t="inlineStr">
        <is>
          <t>Verzeichnis für X-Rechnungs-XML-Dateien</t>
        </is>
      </c>
    </row>
    <row r="9">
      <c r="A9" s="76" t="inlineStr">
        <is>
          <t>XML_Verzeichnis_2</t>
        </is>
      </c>
      <c r="B9" s="74" t="n"/>
      <c r="C9" s="76" t="inlineStr">
        <is>
          <t>Optionales 2. XML-Verzeichnis</t>
        </is>
      </c>
    </row>
    <row r="10">
      <c r="A10" s="76" t="inlineStr">
        <is>
          <t>Archiv_Verzeichnis</t>
        </is>
      </c>
      <c r="B10" s="74" t="inlineStr">
        <is>
          <t>C:\Rechnungen\Archiv\</t>
        </is>
      </c>
      <c r="C10" s="76" t="inlineStr">
        <is>
          <t>Verzeichnis für erfolgreich importierte Dateien</t>
        </is>
      </c>
    </row>
    <row r="11">
      <c r="A11" s="76" t="inlineStr">
        <is>
          <t>Unterverzeichnisse_durchsuchen</t>
        </is>
      </c>
      <c r="B11" s="74" t="inlineStr">
        <is>
          <t>Ja</t>
        </is>
      </c>
      <c r="C11" s="76" t="inlineStr">
        <is>
          <t>Ja/Nein - Auch Unterverzeichnisse durchsuchen</t>
        </is>
      </c>
    </row>
    <row r="13">
      <c r="A13" s="72" t="inlineStr">
        <is>
          <t>Import-Optionen</t>
        </is>
      </c>
      <c r="B13" s="73" t="n"/>
      <c r="C13" s="73" t="n"/>
    </row>
    <row r="14">
      <c r="A14" s="75" t="inlineStr">
        <is>
          <t>Parameter</t>
        </is>
      </c>
      <c r="B14" s="75" t="inlineStr">
        <is>
          <t>Wert</t>
        </is>
      </c>
      <c r="C14" s="75" t="inlineStr">
        <is>
          <t>Beschreibung</t>
        </is>
      </c>
    </row>
    <row r="15">
      <c r="A15" s="76" t="inlineStr">
        <is>
          <t>Interaktiver_Modus</t>
        </is>
      </c>
      <c r="B15" s="74" t="inlineStr">
        <is>
          <t>Ja</t>
        </is>
      </c>
      <c r="C15" s="76" t="inlineStr">
        <is>
          <t>Ja/Nein - Jede Rechnung vor Import bestätigen</t>
        </is>
      </c>
    </row>
    <row r="16">
      <c r="A16" s="76" t="inlineStr">
        <is>
          <t>Duplikat_Prüfung</t>
        </is>
      </c>
      <c r="B16" s="74" t="inlineStr">
        <is>
          <t>Ja</t>
        </is>
      </c>
      <c r="C16" s="76" t="inlineStr">
        <is>
          <t>Ja/Nein - Prüfe ob RE-Nr bereits existiert</t>
        </is>
      </c>
    </row>
    <row r="17">
      <c r="A17" s="76" t="inlineStr">
        <is>
          <t>Auto_Kreditoren_Match</t>
        </is>
      </c>
      <c r="B17" s="74" t="inlineStr">
        <is>
          <t>Ja</t>
        </is>
      </c>
      <c r="C17" s="76" t="inlineStr">
        <is>
          <t>Ja/Nein - Automatischer Abgleich mit Kreditoren-Tabelle</t>
        </is>
      </c>
    </row>
    <row r="18">
      <c r="A18" s="76" t="inlineStr">
        <is>
          <t>Standard_TYP</t>
        </is>
      </c>
      <c r="B18" s="74" t="inlineStr">
        <is>
          <t>E</t>
        </is>
      </c>
      <c r="C18" s="76" t="inlineStr">
        <is>
          <t>Standard-Typ für neue Rechnungen (E/K/K1)</t>
        </is>
      </c>
    </row>
    <row r="19">
      <c r="A19" s="76" t="inlineStr">
        <is>
          <t>Standard_EU</t>
        </is>
      </c>
      <c r="B19" s="74" t="inlineStr">
        <is>
          <t>U</t>
        </is>
      </c>
      <c r="C19" s="76" t="inlineStr">
        <is>
          <t>Standard EU-Wert (E/U/K)</t>
        </is>
      </c>
    </row>
    <row r="20">
      <c r="A20" s="76" t="inlineStr">
        <is>
          <t>Standard_Konto_ID</t>
        </is>
      </c>
      <c r="B20" s="74" t="n"/>
      <c r="C20" s="76" t="inlineStr">
        <is>
          <t>Standard Konto-ID (VR/FX/FYRST) - leer = aus Kreditoren</t>
        </is>
      </c>
    </row>
    <row r="21">
      <c r="A21" s="76" t="inlineStr">
        <is>
          <t>Dateien_nach_Import_verschieben</t>
        </is>
      </c>
      <c r="B21" s="74" t="inlineStr">
        <is>
          <t>Ja</t>
        </is>
      </c>
      <c r="C21" s="76" t="inlineStr">
        <is>
          <t>Ja/Nein - Dateien nach Import ins Archiv verschieben</t>
        </is>
      </c>
    </row>
    <row r="22">
      <c r="A22" s="76" t="inlineStr">
        <is>
          <t>Priorität_Datenquelle</t>
        </is>
      </c>
      <c r="B22" s="74" t="inlineStr">
        <is>
          <t>XML&gt;ZUGFeRD&gt;PDF</t>
        </is>
      </c>
      <c r="C22" s="76" t="inlineStr">
        <is>
          <t>Reihenfolge der Datenquellen (XML&gt;ZUGFeRD&gt;PDF)</t>
        </is>
      </c>
    </row>
    <row r="23">
      <c r="A23" s="76" t="inlineStr">
        <is>
          <t>Log_Ausgabe</t>
        </is>
      </c>
      <c r="B23" s="74" t="inlineStr">
        <is>
          <t>Ja</t>
        </is>
      </c>
      <c r="C23" s="76" t="inlineStr">
        <is>
          <t>Ja/Nein - Import-Log im Direktfenster ausgeben</t>
        </is>
      </c>
    </row>
    <row r="25">
      <c r="A25" s="72" t="inlineStr">
        <is>
          <t>Feld-Mapping (PDF-Text → tb_rechnungen)</t>
        </is>
      </c>
      <c r="B25" s="73" t="n"/>
      <c r="C25" s="73" t="n"/>
      <c r="D25" s="73" t="n"/>
    </row>
    <row r="26">
      <c r="A26" s="75" t="inlineStr">
        <is>
          <t>Ziel-Spalte</t>
        </is>
      </c>
      <c r="B26" s="75" t="inlineStr">
        <is>
          <t>ZUGFeRD/XRechnung-Element</t>
        </is>
      </c>
      <c r="C26" s="75" t="inlineStr">
        <is>
          <t>PDF-Regex-Muster</t>
        </is>
      </c>
      <c r="D26" s="75" t="inlineStr">
        <is>
          <t>Beschreibung</t>
        </is>
      </c>
    </row>
    <row r="27">
      <c r="A27" s="76" t="inlineStr">
        <is>
          <t>Re-Datum</t>
        </is>
      </c>
      <c r="B27" s="77" t="inlineStr">
        <is>
          <t>ram:IssueDateTime</t>
        </is>
      </c>
      <c r="C27" s="77" t="inlineStr">
        <is>
          <t>Rechnungsdatum[:\s]*([\d\.]+)</t>
        </is>
      </c>
      <c r="D27" s="77" t="inlineStr">
        <is>
          <t>Rechnungsdatum</t>
        </is>
      </c>
    </row>
    <row r="28">
      <c r="A28" s="76" t="inlineStr">
        <is>
          <t>Name/Lieferant</t>
        </is>
      </c>
      <c r="B28" s="77" t="inlineStr">
        <is>
          <t>ram:Name (SellerTradeParty)</t>
        </is>
      </c>
      <c r="C28" s="77" t="inlineStr">
        <is>
          <t>(?:Firma|Von)[:\s]*(.*)</t>
        </is>
      </c>
      <c r="D28" s="77" t="inlineStr">
        <is>
          <t>Name des Lieferanten</t>
        </is>
      </c>
    </row>
    <row r="29">
      <c r="A29" s="76" t="inlineStr">
        <is>
          <t>RE-Nr</t>
        </is>
      </c>
      <c r="B29" s="77" t="inlineStr">
        <is>
          <t>ram:ID (HeaderExchangedDocument)</t>
        </is>
      </c>
      <c r="C29" s="77" t="inlineStr">
        <is>
          <t>(?:Rechnung(?:s-?)?(?:Nr|nummer)[.:\s]*)(\S+)</t>
        </is>
      </c>
      <c r="D29" s="77" t="inlineStr">
        <is>
          <t>Rechnungsnummer</t>
        </is>
      </c>
    </row>
    <row r="30">
      <c r="A30" s="76" t="inlineStr">
        <is>
          <t>Text</t>
        </is>
      </c>
      <c r="B30" s="77" t="inlineStr">
        <is>
          <t>ram:Name (SpecifiedTradeProduct)</t>
        </is>
      </c>
      <c r="C30" s="77" t="n"/>
      <c r="D30" s="77" t="inlineStr">
        <is>
          <t>Beschreibungstext</t>
        </is>
      </c>
    </row>
    <row r="31">
      <c r="A31" s="76" t="inlineStr">
        <is>
          <t>Netto</t>
        </is>
      </c>
      <c r="B31" s="77" t="inlineStr">
        <is>
          <t>ram:LineTotalAmount</t>
        </is>
      </c>
      <c r="C31" s="77" t="inlineStr">
        <is>
          <t>Netto(?:betrag)?[:\s]*([\d.,]+)</t>
        </is>
      </c>
      <c r="D31" s="77" t="inlineStr">
        <is>
          <t>Nettobetrag</t>
        </is>
      </c>
    </row>
    <row r="32">
      <c r="A32" s="76" t="inlineStr">
        <is>
          <t>Brutto</t>
        </is>
      </c>
      <c r="B32" s="77" t="inlineStr">
        <is>
          <t>ram:GrandTotalAmount</t>
        </is>
      </c>
      <c r="C32" s="77" t="inlineStr">
        <is>
          <t>(?:Gesamt|Brutto)(?:betrag)?[:\s]*([\d.,]+)</t>
        </is>
      </c>
      <c r="D32" s="77" t="inlineStr">
        <is>
          <t>Bruttobetrag</t>
        </is>
      </c>
    </row>
    <row r="33">
      <c r="A33" s="76" t="inlineStr">
        <is>
          <t>IBAN</t>
        </is>
      </c>
      <c r="B33" s="77" t="inlineStr">
        <is>
          <t>ram:IBANID</t>
        </is>
      </c>
      <c r="C33" s="77" t="inlineStr">
        <is>
          <t>IBAN[:\s]*([A-Z]{2}\d{2}[\s\d]+)</t>
        </is>
      </c>
      <c r="D33" s="77" t="inlineStr">
        <is>
          <t>IBAN des Lieferanten</t>
        </is>
      </c>
    </row>
    <row r="34">
      <c r="A34" s="76" t="inlineStr">
        <is>
          <t>Fällig_am</t>
        </is>
      </c>
      <c r="B34" s="77" t="inlineStr">
        <is>
          <t>ram:DueDateDateTime</t>
        </is>
      </c>
      <c r="C34" s="77" t="inlineStr">
        <is>
          <t>(?:Fällig|Zahlbar)[:\s]*(?:bis[:\s]*)?([\d\.]+)</t>
        </is>
      </c>
      <c r="D34" s="77" t="inlineStr">
        <is>
          <t>Fälligkeitsdatum</t>
        </is>
      </c>
    </row>
    <row r="35">
      <c r="A35" s="76" t="inlineStr">
        <is>
          <t>Steuer</t>
        </is>
      </c>
      <c r="B35" s="77" t="inlineStr">
        <is>
          <t>ram:TaxTotalAmount</t>
        </is>
      </c>
      <c r="C35" s="77" t="inlineStr">
        <is>
          <t>(?:MwSt|USt)[.:\s]*([\d.,]+)</t>
        </is>
      </c>
      <c r="D35" s="77" t="inlineStr">
        <is>
          <t>Steuerbetrag</t>
        </is>
      </c>
    </row>
    <row r="37">
      <c r="A37" s="72" t="inlineStr">
        <is>
          <t>Letzter Import-Log</t>
        </is>
      </c>
      <c r="B37" s="73" t="n"/>
      <c r="C37" s="73" t="n"/>
      <c r="D37" s="73" t="n"/>
    </row>
    <row r="38">
      <c r="A38" s="75" t="inlineStr">
        <is>
          <t>Zeitstempel</t>
        </is>
      </c>
      <c r="B38" s="75" t="inlineStr">
        <is>
          <t>Dateiname</t>
        </is>
      </c>
      <c r="C38" s="75" t="inlineStr">
        <is>
          <t>Status</t>
        </is>
      </c>
      <c r="D38" s="75" t="inlineStr">
        <is>
          <t>Details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Faszl, Klaus Stefan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2026-04-03T12:25:08Z</dcterms:modified>
  <cp:lastModifiedBy>Klaus Stefan Faszl</cp:lastModifiedBy>
  <cp:lastPrinted>2025-03-06T16:32:35Z</cp:lastPrinted>
</cp:coreProperties>
</file>